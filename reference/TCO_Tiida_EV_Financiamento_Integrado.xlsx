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7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tan\iCloudDrive\iCloud~md~obsidian\Areas\Tiida\TCO\"/>
    </mc:Choice>
  </mc:AlternateContent>
  <xr:revisionPtr revIDLastSave="0" documentId="13_ncr:1_{A26E04E8-1F16-4338-A6B8-350DEC432538}" xr6:coauthVersionLast="47" xr6:coauthVersionMax="47" xr10:uidLastSave="{00000000-0000-0000-0000-000000000000}"/>
  <bookViews>
    <workbookView xWindow="-98" yWindow="503" windowWidth="21795" windowHeight="13094" firstSheet="1" activeTab="1" xr2:uid="{00000000-000D-0000-FFFF-FFFF00000000}"/>
  </bookViews>
  <sheets>
    <sheet name="Dashboard" sheetId="1" r:id="rId1"/>
    <sheet name="Comparador_EV" sheetId="6" r:id="rId2"/>
    <sheet name="Financiamento_EV" sheetId="9" r:id="rId3"/>
    <sheet name="Cenarios_Fin" sheetId="10" r:id="rId4"/>
    <sheet name="Fluxo_EV" sheetId="11" r:id="rId5"/>
    <sheet name="Handoff_EV" sheetId="8" r:id="rId6"/>
    <sheet name="Premissas" sheetId="2" r:id="rId7"/>
    <sheet name="Historico_Mensal" sheetId="3" r:id="rId8"/>
    <sheet name="Servicos_12m" sheetId="4" r:id="rId9"/>
    <sheet name="Abastecimentos_12m" sheetId="5" r:id="rId10"/>
    <sheet name="Historico_Manutencao" sheetId="7" r:id="rId1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9" l="1"/>
  <c r="C7" i="9"/>
  <c r="B11" i="6"/>
  <c r="B13" i="6"/>
  <c r="I130" i="11"/>
  <c r="H130" i="11"/>
  <c r="I129" i="11"/>
  <c r="H129" i="11"/>
  <c r="I128" i="11"/>
  <c r="H128" i="11"/>
  <c r="I127" i="11"/>
  <c r="H127" i="11"/>
  <c r="I126" i="11"/>
  <c r="H126" i="11"/>
  <c r="I125" i="11"/>
  <c r="H125" i="11"/>
  <c r="I124" i="11"/>
  <c r="H124" i="11"/>
  <c r="I123" i="11"/>
  <c r="H123" i="11"/>
  <c r="I122" i="11"/>
  <c r="H122" i="11"/>
  <c r="I121" i="11"/>
  <c r="H121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I91" i="11"/>
  <c r="H91" i="11"/>
  <c r="I90" i="11"/>
  <c r="H90" i="11"/>
  <c r="I89" i="11"/>
  <c r="H89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I82" i="11"/>
  <c r="H82" i="11"/>
  <c r="I81" i="11"/>
  <c r="H81" i="11"/>
  <c r="I80" i="11"/>
  <c r="H80" i="11"/>
  <c r="I79" i="11"/>
  <c r="H79" i="11"/>
  <c r="I78" i="11"/>
  <c r="H78" i="11"/>
  <c r="I77" i="11"/>
  <c r="H77" i="11"/>
  <c r="I76" i="11"/>
  <c r="H76" i="11"/>
  <c r="I75" i="11"/>
  <c r="H75" i="11"/>
  <c r="I74" i="11"/>
  <c r="H74" i="11"/>
  <c r="I73" i="11"/>
  <c r="H73" i="11"/>
  <c r="I72" i="11"/>
  <c r="H72" i="11"/>
  <c r="I71" i="11"/>
  <c r="H71" i="11"/>
  <c r="I70" i="11"/>
  <c r="H70" i="11"/>
  <c r="R69" i="11"/>
  <c r="I69" i="11"/>
  <c r="H69" i="11"/>
  <c r="R68" i="11"/>
  <c r="I68" i="11"/>
  <c r="H68" i="11"/>
  <c r="R67" i="11"/>
  <c r="I67" i="11"/>
  <c r="H67" i="11"/>
  <c r="R66" i="11"/>
  <c r="I66" i="11"/>
  <c r="H66" i="11"/>
  <c r="R65" i="11"/>
  <c r="I65" i="11"/>
  <c r="H65" i="11"/>
  <c r="R64" i="11"/>
  <c r="I64" i="11"/>
  <c r="H64" i="11"/>
  <c r="R63" i="11"/>
  <c r="I63" i="11"/>
  <c r="H63" i="11"/>
  <c r="R62" i="11"/>
  <c r="I62" i="11"/>
  <c r="H62" i="11"/>
  <c r="R61" i="11"/>
  <c r="I61" i="11"/>
  <c r="H61" i="11"/>
  <c r="R60" i="11"/>
  <c r="I60" i="11"/>
  <c r="H60" i="11"/>
  <c r="R59" i="11"/>
  <c r="I59" i="11"/>
  <c r="H59" i="11"/>
  <c r="R58" i="11"/>
  <c r="I58" i="11"/>
  <c r="H58" i="11"/>
  <c r="R57" i="11"/>
  <c r="I57" i="11"/>
  <c r="H57" i="11"/>
  <c r="R56" i="11"/>
  <c r="I56" i="11"/>
  <c r="H56" i="11"/>
  <c r="R55" i="11"/>
  <c r="I55" i="11"/>
  <c r="H55" i="11"/>
  <c r="R54" i="11"/>
  <c r="I54" i="11"/>
  <c r="H54" i="11"/>
  <c r="R53" i="11"/>
  <c r="I53" i="11"/>
  <c r="H53" i="11"/>
  <c r="R52" i="11"/>
  <c r="I52" i="11"/>
  <c r="H52" i="11"/>
  <c r="R51" i="11"/>
  <c r="I51" i="11"/>
  <c r="H51" i="11"/>
  <c r="R50" i="11"/>
  <c r="I50" i="11"/>
  <c r="H50" i="11"/>
  <c r="R49" i="11"/>
  <c r="I49" i="11"/>
  <c r="H49" i="11"/>
  <c r="R48" i="11"/>
  <c r="I48" i="11"/>
  <c r="H48" i="11"/>
  <c r="R47" i="11"/>
  <c r="I47" i="11"/>
  <c r="H47" i="11"/>
  <c r="R46" i="11"/>
  <c r="I46" i="11"/>
  <c r="H46" i="11"/>
  <c r="R45" i="11"/>
  <c r="I45" i="11"/>
  <c r="H45" i="11"/>
  <c r="R44" i="11"/>
  <c r="I44" i="11"/>
  <c r="H44" i="11"/>
  <c r="R43" i="11"/>
  <c r="I43" i="11"/>
  <c r="H43" i="11"/>
  <c r="R42" i="11"/>
  <c r="I42" i="11"/>
  <c r="H42" i="11"/>
  <c r="R41" i="11"/>
  <c r="I41" i="11"/>
  <c r="H41" i="11"/>
  <c r="R40" i="11"/>
  <c r="I40" i="11"/>
  <c r="H40" i="11"/>
  <c r="R39" i="11"/>
  <c r="I39" i="11"/>
  <c r="H39" i="11"/>
  <c r="R38" i="11"/>
  <c r="I38" i="11"/>
  <c r="H38" i="11"/>
  <c r="R37" i="11"/>
  <c r="I37" i="11"/>
  <c r="H37" i="11"/>
  <c r="R36" i="11"/>
  <c r="I36" i="11"/>
  <c r="H36" i="11"/>
  <c r="R35" i="11"/>
  <c r="I35" i="11"/>
  <c r="H35" i="11"/>
  <c r="R34" i="11"/>
  <c r="I34" i="11"/>
  <c r="H34" i="11"/>
  <c r="R33" i="11"/>
  <c r="I33" i="11"/>
  <c r="H33" i="11"/>
  <c r="R32" i="11"/>
  <c r="I32" i="11"/>
  <c r="H32" i="11"/>
  <c r="R31" i="11"/>
  <c r="I31" i="11"/>
  <c r="H31" i="11"/>
  <c r="R30" i="11"/>
  <c r="I30" i="11"/>
  <c r="H30" i="11"/>
  <c r="R29" i="11"/>
  <c r="I29" i="11"/>
  <c r="H29" i="11"/>
  <c r="R28" i="11"/>
  <c r="I28" i="11"/>
  <c r="H28" i="11"/>
  <c r="R27" i="11"/>
  <c r="I27" i="11"/>
  <c r="H27" i="11"/>
  <c r="R26" i="11"/>
  <c r="I26" i="11"/>
  <c r="H26" i="11"/>
  <c r="R25" i="11"/>
  <c r="I25" i="11"/>
  <c r="H25" i="11"/>
  <c r="R24" i="11"/>
  <c r="I24" i="11"/>
  <c r="H24" i="11"/>
  <c r="R23" i="11"/>
  <c r="I23" i="11"/>
  <c r="H23" i="11"/>
  <c r="R22" i="11"/>
  <c r="I22" i="11"/>
  <c r="H22" i="11"/>
  <c r="R21" i="11"/>
  <c r="I21" i="11"/>
  <c r="H21" i="11"/>
  <c r="R20" i="11"/>
  <c r="I20" i="11"/>
  <c r="H20" i="11"/>
  <c r="R19" i="11"/>
  <c r="I19" i="11"/>
  <c r="H19" i="11"/>
  <c r="R18" i="11"/>
  <c r="I18" i="11"/>
  <c r="H18" i="11"/>
  <c r="R17" i="11"/>
  <c r="I17" i="11"/>
  <c r="H17" i="11"/>
  <c r="R16" i="11"/>
  <c r="I16" i="11"/>
  <c r="H16" i="11"/>
  <c r="R15" i="11"/>
  <c r="I15" i="11"/>
  <c r="H15" i="11"/>
  <c r="R14" i="11"/>
  <c r="I14" i="11"/>
  <c r="H14" i="11"/>
  <c r="R13" i="11"/>
  <c r="I13" i="11"/>
  <c r="H13" i="11"/>
  <c r="R12" i="11"/>
  <c r="I12" i="11"/>
  <c r="H12" i="11"/>
  <c r="R11" i="11"/>
  <c r="I11" i="11"/>
  <c r="H11" i="11"/>
  <c r="R10" i="11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5" i="10"/>
  <c r="V86" i="10"/>
  <c r="V87" i="10"/>
  <c r="V88" i="10"/>
  <c r="V89" i="10"/>
  <c r="V90" i="10"/>
  <c r="V91" i="10"/>
  <c r="V92" i="10"/>
  <c r="V93" i="10"/>
  <c r="V94" i="10"/>
  <c r="V95" i="10"/>
  <c r="V96" i="10"/>
  <c r="V97" i="10"/>
  <c r="V98" i="10"/>
  <c r="V99" i="10"/>
  <c r="V100" i="10"/>
  <c r="V101" i="10"/>
  <c r="V102" i="10"/>
  <c r="V103" i="10"/>
  <c r="V104" i="10"/>
  <c r="V105" i="10"/>
  <c r="V106" i="10"/>
  <c r="V107" i="10"/>
  <c r="V108" i="10"/>
  <c r="V109" i="10"/>
  <c r="V110" i="10"/>
  <c r="V111" i="10"/>
  <c r="V112" i="10"/>
  <c r="V113" i="10"/>
  <c r="V114" i="10"/>
  <c r="V115" i="10"/>
  <c r="V116" i="10"/>
  <c r="V117" i="10"/>
  <c r="V118" i="10"/>
  <c r="V119" i="10"/>
  <c r="V120" i="10"/>
  <c r="V121" i="10"/>
  <c r="V122" i="10"/>
  <c r="V123" i="10"/>
  <c r="V124" i="10"/>
  <c r="V125" i="10"/>
  <c r="V126" i="10"/>
  <c r="V127" i="10"/>
  <c r="V128" i="10"/>
  <c r="V129" i="10"/>
  <c r="V130" i="10"/>
  <c r="V131" i="10"/>
  <c r="V132" i="10"/>
  <c r="V133" i="10"/>
  <c r="V134" i="10"/>
  <c r="V135" i="10"/>
  <c r="V136" i="10"/>
  <c r="V137" i="10"/>
  <c r="V138" i="10"/>
  <c r="V139" i="10"/>
  <c r="V140" i="10"/>
  <c r="V141" i="10"/>
  <c r="V142" i="10"/>
  <c r="V143" i="10"/>
  <c r="V144" i="10"/>
  <c r="V145" i="10"/>
  <c r="V146" i="10"/>
  <c r="V147" i="10"/>
  <c r="V148" i="10"/>
  <c r="V149" i="10"/>
  <c r="V150" i="10"/>
  <c r="V151" i="10"/>
  <c r="V152" i="10"/>
  <c r="V153" i="10"/>
  <c r="V15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A35" i="10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C12" i="9"/>
  <c r="C11" i="9"/>
  <c r="C9" i="9"/>
  <c r="C8" i="9"/>
  <c r="B17" i="9"/>
  <c r="C6" i="9"/>
  <c r="M10" i="7"/>
  <c r="M9" i="7"/>
  <c r="M8" i="7"/>
  <c r="M7" i="7"/>
  <c r="M6" i="7"/>
  <c r="M5" i="7"/>
  <c r="B29" i="6"/>
  <c r="B28" i="6"/>
  <c r="J14" i="6"/>
  <c r="J11" i="6"/>
  <c r="J8" i="6"/>
  <c r="B7" i="6"/>
  <c r="F18" i="3"/>
  <c r="E18" i="3"/>
  <c r="D18" i="3"/>
  <c r="C18" i="3"/>
  <c r="B18" i="3"/>
  <c r="G16" i="3"/>
  <c r="G15" i="3"/>
  <c r="G18" i="3"/>
  <c r="G14" i="3"/>
  <c r="G13" i="3"/>
  <c r="G12" i="3"/>
  <c r="G11" i="3"/>
  <c r="G10" i="3"/>
  <c r="G9" i="3"/>
  <c r="G8" i="3"/>
  <c r="G7" i="3"/>
  <c r="G6" i="3"/>
  <c r="G5" i="3"/>
  <c r="B13" i="2"/>
  <c r="B9" i="2"/>
  <c r="B7" i="2"/>
  <c r="C28" i="1"/>
  <c r="C27" i="1"/>
  <c r="C26" i="1"/>
  <c r="C21" i="1"/>
  <c r="C20" i="1"/>
  <c r="C19" i="1"/>
  <c r="C18" i="1"/>
  <c r="H13" i="1"/>
  <c r="G12" i="1"/>
  <c r="B12" i="1"/>
  <c r="H11" i="1"/>
  <c r="D11" i="1"/>
  <c r="C11" i="1"/>
  <c r="H10" i="1"/>
  <c r="D10" i="1"/>
  <c r="C10" i="1"/>
  <c r="H9" i="1"/>
  <c r="D9" i="1"/>
  <c r="C9" i="1"/>
  <c r="H8" i="1"/>
  <c r="D8" i="1"/>
  <c r="C8" i="1"/>
  <c r="H7" i="1"/>
  <c r="D7" i="1"/>
  <c r="C7" i="1"/>
  <c r="J130" i="11"/>
  <c r="J129" i="11"/>
  <c r="J128" i="11"/>
  <c r="J127" i="11"/>
  <c r="J126" i="11"/>
  <c r="J125" i="11"/>
  <c r="J124" i="11"/>
  <c r="J123" i="11"/>
  <c r="J122" i="11"/>
  <c r="J121" i="11"/>
  <c r="J120" i="11"/>
  <c r="J119" i="11"/>
  <c r="J118" i="11"/>
  <c r="J117" i="11"/>
  <c r="J116" i="11"/>
  <c r="J115" i="11"/>
  <c r="J114" i="11"/>
  <c r="J113" i="11"/>
  <c r="J112" i="11"/>
  <c r="J111" i="11"/>
  <c r="J110" i="11"/>
  <c r="J109" i="11"/>
  <c r="J108" i="11"/>
  <c r="J107" i="11"/>
  <c r="J106" i="11"/>
  <c r="J105" i="11"/>
  <c r="J104" i="11"/>
  <c r="J103" i="11"/>
  <c r="J102" i="11"/>
  <c r="J101" i="11"/>
  <c r="J83" i="11"/>
  <c r="J81" i="11"/>
  <c r="J80" i="11"/>
  <c r="J77" i="11"/>
  <c r="J76" i="11"/>
  <c r="J71" i="11"/>
  <c r="J39" i="11"/>
  <c r="J38" i="11"/>
  <c r="J35" i="11"/>
  <c r="J30" i="11"/>
  <c r="J28" i="11"/>
  <c r="J26" i="11"/>
  <c r="J23" i="11"/>
  <c r="J19" i="11"/>
  <c r="J12" i="11"/>
  <c r="J100" i="11"/>
  <c r="J99" i="11"/>
  <c r="J98" i="11"/>
  <c r="J97" i="11"/>
  <c r="J96" i="11"/>
  <c r="J95" i="11"/>
  <c r="J94" i="11"/>
  <c r="J93" i="11"/>
  <c r="J92" i="11"/>
  <c r="J91" i="11"/>
  <c r="J90" i="11"/>
  <c r="J89" i="11"/>
  <c r="J88" i="11"/>
  <c r="J87" i="11"/>
  <c r="J86" i="11"/>
  <c r="J85" i="11"/>
  <c r="J82" i="11"/>
  <c r="J79" i="11"/>
  <c r="J74" i="11"/>
  <c r="J72" i="11"/>
  <c r="J70" i="11"/>
  <c r="J29" i="11"/>
  <c r="J84" i="11"/>
  <c r="J78" i="11"/>
  <c r="J75" i="11"/>
  <c r="J73" i="11"/>
  <c r="J24" i="11"/>
  <c r="J22" i="11"/>
  <c r="J21" i="11"/>
  <c r="J20" i="11"/>
  <c r="J11" i="11"/>
  <c r="J58" i="11"/>
  <c r="J57" i="11"/>
  <c r="J56" i="11"/>
  <c r="J55" i="11"/>
  <c r="J53" i="11"/>
  <c r="J52" i="11"/>
  <c r="J51" i="11"/>
  <c r="J50" i="11"/>
  <c r="J48" i="11"/>
  <c r="J47" i="11"/>
  <c r="J42" i="11"/>
  <c r="J37" i="11"/>
  <c r="J33" i="11"/>
  <c r="J32" i="11"/>
  <c r="J31" i="11"/>
  <c r="J27" i="11"/>
  <c r="J25" i="11"/>
  <c r="J14" i="11"/>
  <c r="J54" i="11"/>
  <c r="J49" i="11"/>
  <c r="J46" i="11"/>
  <c r="J45" i="11"/>
  <c r="J44" i="11"/>
  <c r="J43" i="11"/>
  <c r="J41" i="11"/>
  <c r="J40" i="11"/>
  <c r="J36" i="11"/>
  <c r="J34" i="11"/>
  <c r="J18" i="11"/>
  <c r="J17" i="11"/>
  <c r="J16" i="11"/>
  <c r="J15" i="11"/>
  <c r="J13" i="11"/>
  <c r="A36" i="10"/>
  <c r="AM35" i="10"/>
  <c r="AI35" i="10"/>
  <c r="B18" i="9"/>
  <c r="B11" i="11"/>
  <c r="J68" i="11"/>
  <c r="J63" i="11"/>
  <c r="J67" i="11"/>
  <c r="J59" i="11"/>
  <c r="J66" i="11"/>
  <c r="J62" i="11"/>
  <c r="J65" i="11"/>
  <c r="J60" i="11"/>
  <c r="J64" i="11"/>
  <c r="J69" i="11"/>
  <c r="J61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86" i="11"/>
  <c r="G76" i="11"/>
  <c r="G75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111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24" i="11"/>
  <c r="G23" i="11"/>
  <c r="G21" i="11"/>
  <c r="G30" i="11"/>
  <c r="G29" i="11"/>
  <c r="G28" i="11"/>
  <c r="G27" i="11"/>
  <c r="G22" i="11"/>
  <c r="G20" i="11"/>
  <c r="G19" i="11"/>
  <c r="G18" i="11"/>
  <c r="G17" i="11"/>
  <c r="G16" i="11"/>
  <c r="G15" i="11"/>
  <c r="G14" i="11"/>
  <c r="G13" i="11"/>
  <c r="G12" i="11"/>
  <c r="G11" i="11"/>
  <c r="G89" i="11"/>
  <c r="G88" i="11"/>
  <c r="G85" i="11"/>
  <c r="G83" i="11"/>
  <c r="G81" i="11"/>
  <c r="G80" i="11"/>
  <c r="G130" i="11"/>
  <c r="G25" i="11"/>
  <c r="J15" i="6"/>
  <c r="G78" i="11"/>
  <c r="G73" i="11"/>
  <c r="G72" i="11"/>
  <c r="G26" i="11"/>
  <c r="G129" i="11"/>
  <c r="G128" i="11"/>
  <c r="G46" i="11"/>
  <c r="G127" i="11"/>
  <c r="G126" i="11"/>
  <c r="G125" i="11"/>
  <c r="G124" i="11"/>
  <c r="G90" i="11"/>
  <c r="G87" i="11"/>
  <c r="G84" i="11"/>
  <c r="G82" i="11"/>
  <c r="G79" i="11"/>
  <c r="G77" i="11"/>
  <c r="G71" i="11"/>
  <c r="G74" i="11"/>
  <c r="E21" i="1"/>
  <c r="D21" i="1"/>
  <c r="F21" i="1"/>
  <c r="F20" i="1"/>
  <c r="E20" i="1"/>
  <c r="D20" i="1"/>
  <c r="F19" i="1"/>
  <c r="E19" i="1"/>
  <c r="D19" i="1"/>
  <c r="F18" i="1"/>
  <c r="E18" i="1"/>
  <c r="D18" i="1"/>
  <c r="G14" i="1"/>
  <c r="H14" i="1"/>
  <c r="H12" i="1"/>
  <c r="D12" i="1"/>
  <c r="C12" i="1"/>
  <c r="K123" i="11"/>
  <c r="K81" i="11"/>
  <c r="K111" i="11"/>
  <c r="K83" i="11"/>
  <c r="K80" i="11"/>
  <c r="K15" i="11"/>
  <c r="K13" i="11"/>
  <c r="K129" i="11"/>
  <c r="K16" i="11"/>
  <c r="K12" i="11"/>
  <c r="K130" i="11"/>
  <c r="K26" i="11"/>
  <c r="K128" i="11"/>
  <c r="K122" i="11"/>
  <c r="K121" i="11"/>
  <c r="K104" i="11"/>
  <c r="K103" i="11"/>
  <c r="K102" i="11"/>
  <c r="K101" i="11"/>
  <c r="K100" i="11"/>
  <c r="K99" i="11"/>
  <c r="K98" i="11"/>
  <c r="K97" i="11"/>
  <c r="K96" i="11"/>
  <c r="K95" i="11"/>
  <c r="K94" i="11"/>
  <c r="K76" i="11"/>
  <c r="K39" i="11"/>
  <c r="K37" i="11"/>
  <c r="K35" i="11"/>
  <c r="K34" i="11"/>
  <c r="K33" i="11"/>
  <c r="K32" i="11"/>
  <c r="K24" i="11"/>
  <c r="K21" i="11"/>
  <c r="K29" i="11"/>
  <c r="K28" i="11"/>
  <c r="K22" i="11"/>
  <c r="K20" i="11"/>
  <c r="K18" i="11"/>
  <c r="K14" i="11"/>
  <c r="K11" i="11"/>
  <c r="K88" i="11"/>
  <c r="K72" i="11"/>
  <c r="K38" i="11"/>
  <c r="K31" i="11"/>
  <c r="K23" i="11"/>
  <c r="K30" i="11"/>
  <c r="K27" i="11"/>
  <c r="K19" i="11"/>
  <c r="K17" i="11"/>
  <c r="K89" i="11"/>
  <c r="K85" i="11"/>
  <c r="K73" i="11"/>
  <c r="K25" i="11"/>
  <c r="K78" i="11"/>
  <c r="K46" i="11"/>
  <c r="K77" i="11"/>
  <c r="K71" i="11"/>
  <c r="K74" i="11"/>
  <c r="K120" i="11"/>
  <c r="K119" i="11"/>
  <c r="K118" i="11"/>
  <c r="K117" i="11"/>
  <c r="K116" i="11"/>
  <c r="K115" i="11"/>
  <c r="K114" i="11"/>
  <c r="K113" i="11"/>
  <c r="K112" i="11"/>
  <c r="K110" i="11"/>
  <c r="K109" i="11"/>
  <c r="K108" i="11"/>
  <c r="K107" i="11"/>
  <c r="K106" i="11"/>
  <c r="K105" i="11"/>
  <c r="K51" i="11"/>
  <c r="K49" i="11"/>
  <c r="K47" i="11"/>
  <c r="K45" i="11"/>
  <c r="K44" i="11"/>
  <c r="K43" i="11"/>
  <c r="K42" i="11"/>
  <c r="K40" i="11"/>
  <c r="K36" i="11"/>
  <c r="K93" i="11"/>
  <c r="K92" i="11"/>
  <c r="K91" i="11"/>
  <c r="K86" i="11"/>
  <c r="K75" i="11"/>
  <c r="K70" i="11"/>
  <c r="K58" i="11"/>
  <c r="K57" i="11"/>
  <c r="K56" i="11"/>
  <c r="K55" i="11"/>
  <c r="K54" i="11"/>
  <c r="K53" i="11"/>
  <c r="K52" i="11"/>
  <c r="K50" i="11"/>
  <c r="K48" i="11"/>
  <c r="K41" i="11"/>
  <c r="K127" i="11"/>
  <c r="K126" i="11"/>
  <c r="K125" i="11"/>
  <c r="K124" i="11"/>
  <c r="K90" i="11"/>
  <c r="K87" i="11"/>
  <c r="K84" i="11"/>
  <c r="K82" i="11"/>
  <c r="K79" i="11"/>
  <c r="AI36" i="10"/>
  <c r="AM36" i="10"/>
  <c r="A37" i="10"/>
  <c r="B19" i="9"/>
  <c r="B12" i="11"/>
  <c r="J16" i="6"/>
  <c r="C17" i="6"/>
  <c r="J17" i="6"/>
  <c r="B34" i="6"/>
  <c r="B36" i="6"/>
  <c r="B33" i="6"/>
  <c r="M70" i="11"/>
  <c r="T69" i="11"/>
  <c r="M71" i="11"/>
  <c r="M73" i="11"/>
  <c r="M78" i="11"/>
  <c r="M79" i="11"/>
  <c r="M82" i="11"/>
  <c r="M85" i="11"/>
  <c r="M88" i="11"/>
  <c r="M21" i="11"/>
  <c r="M24" i="11"/>
  <c r="M74" i="11"/>
  <c r="M75" i="11"/>
  <c r="M76" i="11"/>
  <c r="M80" i="11"/>
  <c r="M89" i="11"/>
  <c r="M11" i="11"/>
  <c r="M12" i="11"/>
  <c r="M13" i="11"/>
  <c r="M14" i="11"/>
  <c r="M15" i="11"/>
  <c r="M16" i="11"/>
  <c r="M17" i="11"/>
  <c r="M18" i="11"/>
  <c r="M19" i="11"/>
  <c r="M20" i="11"/>
  <c r="M25" i="11"/>
  <c r="M27" i="11"/>
  <c r="M32" i="11"/>
  <c r="M26" i="11"/>
  <c r="M28" i="11"/>
  <c r="M29" i="11"/>
  <c r="M30" i="11"/>
  <c r="M31" i="11"/>
  <c r="M33" i="11"/>
  <c r="M34" i="11"/>
  <c r="M35" i="11"/>
  <c r="M36" i="11"/>
  <c r="M37" i="11"/>
  <c r="M38" i="11"/>
  <c r="M39" i="11"/>
  <c r="M40" i="11"/>
  <c r="M41" i="11"/>
  <c r="M42" i="11"/>
  <c r="T41" i="11"/>
  <c r="M43" i="11"/>
  <c r="T42" i="11"/>
  <c r="M44" i="11"/>
  <c r="T43" i="11"/>
  <c r="M45" i="11"/>
  <c r="T44" i="11"/>
  <c r="M46" i="11"/>
  <c r="M47" i="11"/>
  <c r="T46" i="11"/>
  <c r="M48" i="11"/>
  <c r="T47" i="11"/>
  <c r="M49" i="11"/>
  <c r="T48" i="11"/>
  <c r="M50" i="11"/>
  <c r="T49" i="11"/>
  <c r="M51" i="11"/>
  <c r="T50" i="11"/>
  <c r="M52" i="11"/>
  <c r="T51" i="11"/>
  <c r="M53" i="11"/>
  <c r="T52" i="11"/>
  <c r="M54" i="11"/>
  <c r="T53" i="11"/>
  <c r="M55" i="11"/>
  <c r="T54" i="11"/>
  <c r="M56" i="11"/>
  <c r="M57" i="11"/>
  <c r="T56" i="11"/>
  <c r="M58" i="11"/>
  <c r="T57" i="11"/>
  <c r="M59" i="11"/>
  <c r="T58" i="11"/>
  <c r="M60" i="11"/>
  <c r="T59" i="11"/>
  <c r="M61" i="11"/>
  <c r="T60" i="11"/>
  <c r="M62" i="11"/>
  <c r="T61" i="11"/>
  <c r="M63" i="11"/>
  <c r="T62" i="11"/>
  <c r="M64" i="11"/>
  <c r="T63" i="11"/>
  <c r="M65" i="11"/>
  <c r="T64" i="11"/>
  <c r="M66" i="11"/>
  <c r="T65" i="11"/>
  <c r="M67" i="11"/>
  <c r="T66" i="11"/>
  <c r="M68" i="11"/>
  <c r="T67" i="11"/>
  <c r="M22" i="11"/>
  <c r="M69" i="11"/>
  <c r="T68" i="11"/>
  <c r="M77" i="11"/>
  <c r="M83" i="11"/>
  <c r="M84" i="11"/>
  <c r="M86" i="11"/>
  <c r="M87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23" i="11"/>
  <c r="M72" i="11"/>
  <c r="M81" i="11"/>
  <c r="K69" i="11"/>
  <c r="K68" i="11"/>
  <c r="K67" i="11"/>
  <c r="K66" i="11"/>
  <c r="K65" i="11"/>
  <c r="K64" i="11"/>
  <c r="K63" i="11"/>
  <c r="K62" i="11"/>
  <c r="K61" i="11"/>
  <c r="K60" i="11"/>
  <c r="K59" i="11"/>
  <c r="T55" i="11"/>
  <c r="AI37" i="10"/>
  <c r="AM37" i="10"/>
  <c r="A38" i="10"/>
  <c r="B20" i="9"/>
  <c r="B13" i="11"/>
  <c r="F4" i="11"/>
  <c r="C20" i="6"/>
  <c r="C33" i="6"/>
  <c r="D33" i="6"/>
  <c r="C34" i="6"/>
  <c r="D34" i="6"/>
  <c r="T20" i="11"/>
  <c r="T23" i="11"/>
  <c r="T10" i="11"/>
  <c r="T11" i="11"/>
  <c r="T12" i="11"/>
  <c r="T13" i="11"/>
  <c r="T14" i="11"/>
  <c r="T15" i="11"/>
  <c r="T16" i="11"/>
  <c r="T17" i="11"/>
  <c r="T18" i="11"/>
  <c r="T19" i="11"/>
  <c r="T24" i="11"/>
  <c r="T26" i="11"/>
  <c r="T31" i="11"/>
  <c r="T25" i="11"/>
  <c r="T27" i="11"/>
  <c r="T28" i="11"/>
  <c r="T29" i="11"/>
  <c r="T30" i="11"/>
  <c r="T32" i="11"/>
  <c r="T33" i="11"/>
  <c r="T34" i="11"/>
  <c r="T35" i="11"/>
  <c r="T36" i="11"/>
  <c r="T37" i="11"/>
  <c r="T38" i="11"/>
  <c r="T39" i="11"/>
  <c r="T40" i="11"/>
  <c r="T45" i="11"/>
  <c r="T21" i="11"/>
  <c r="T22" i="11"/>
  <c r="AI38" i="10"/>
  <c r="AM38" i="10"/>
  <c r="A39" i="10"/>
  <c r="B21" i="9"/>
  <c r="B14" i="11"/>
  <c r="AI39" i="10"/>
  <c r="AM39" i="10"/>
  <c r="A40" i="10"/>
  <c r="B15" i="11"/>
  <c r="B22" i="9"/>
  <c r="AI40" i="10"/>
  <c r="AM40" i="10"/>
  <c r="A41" i="10"/>
  <c r="B23" i="9"/>
  <c r="B16" i="11"/>
  <c r="AI41" i="10"/>
  <c r="AM41" i="10"/>
  <c r="A42" i="10"/>
  <c r="B24" i="9"/>
  <c r="B17" i="11"/>
  <c r="AI42" i="10"/>
  <c r="AM42" i="10"/>
  <c r="A43" i="10"/>
  <c r="B18" i="11"/>
  <c r="B25" i="9"/>
  <c r="AI43" i="10"/>
  <c r="AM43" i="10"/>
  <c r="A44" i="10"/>
  <c r="B26" i="9"/>
  <c r="B19" i="11"/>
  <c r="AI44" i="10"/>
  <c r="AM44" i="10"/>
  <c r="A45" i="10"/>
  <c r="B27" i="9"/>
  <c r="B20" i="11"/>
  <c r="AI45" i="10"/>
  <c r="AM45" i="10"/>
  <c r="A46" i="10"/>
  <c r="B28" i="9"/>
  <c r="B21" i="11"/>
  <c r="AI46" i="10"/>
  <c r="AM46" i="10"/>
  <c r="A47" i="10"/>
  <c r="B22" i="11"/>
  <c r="B29" i="9"/>
  <c r="AI47" i="10"/>
  <c r="AM47" i="10"/>
  <c r="A48" i="10"/>
  <c r="B30" i="9"/>
  <c r="B23" i="11"/>
  <c r="AI48" i="10"/>
  <c r="AM48" i="10"/>
  <c r="A49" i="10"/>
  <c r="B24" i="11"/>
  <c r="B31" i="9"/>
  <c r="AI49" i="10"/>
  <c r="AM49" i="10"/>
  <c r="A50" i="10"/>
  <c r="B32" i="9"/>
  <c r="B25" i="11"/>
  <c r="AI50" i="10"/>
  <c r="AM50" i="10"/>
  <c r="A51" i="10"/>
  <c r="B33" i="9"/>
  <c r="B26" i="11"/>
  <c r="AI51" i="10"/>
  <c r="AM51" i="10"/>
  <c r="A52" i="10"/>
  <c r="B27" i="11"/>
  <c r="B34" i="9"/>
  <c r="AI52" i="10"/>
  <c r="AM52" i="10"/>
  <c r="A53" i="10"/>
  <c r="B28" i="11"/>
  <c r="B35" i="9"/>
  <c r="A54" i="10"/>
  <c r="AI53" i="10"/>
  <c r="AM53" i="10"/>
  <c r="B36" i="9"/>
  <c r="B29" i="11"/>
  <c r="A55" i="10"/>
  <c r="AM54" i="10"/>
  <c r="AI54" i="10"/>
  <c r="B37" i="9"/>
  <c r="B30" i="11"/>
  <c r="A56" i="10"/>
  <c r="AI55" i="10"/>
  <c r="AM55" i="10"/>
  <c r="B38" i="9"/>
  <c r="B31" i="11"/>
  <c r="AI56" i="10"/>
  <c r="AM56" i="10"/>
  <c r="A57" i="10"/>
  <c r="B32" i="11"/>
  <c r="B39" i="9"/>
  <c r="AI57" i="10"/>
  <c r="AM57" i="10"/>
  <c r="A58" i="10"/>
  <c r="B40" i="9"/>
  <c r="B33" i="11"/>
  <c r="AI58" i="10"/>
  <c r="AM58" i="10"/>
  <c r="A59" i="10"/>
  <c r="B34" i="11"/>
  <c r="B41" i="9"/>
  <c r="AI59" i="10"/>
  <c r="AM59" i="10"/>
  <c r="A60" i="10"/>
  <c r="B42" i="9"/>
  <c r="B35" i="11"/>
  <c r="AI60" i="10"/>
  <c r="AM60" i="10"/>
  <c r="A61" i="10"/>
  <c r="B43" i="9"/>
  <c r="B36" i="11"/>
  <c r="AI61" i="10"/>
  <c r="AM61" i="10"/>
  <c r="A62" i="10"/>
  <c r="B37" i="11"/>
  <c r="B44" i="9"/>
  <c r="AI62" i="10"/>
  <c r="AM62" i="10"/>
  <c r="A63" i="10"/>
  <c r="B45" i="9"/>
  <c r="B38" i="11"/>
  <c r="AI63" i="10"/>
  <c r="AM63" i="10"/>
  <c r="A64" i="10"/>
  <c r="B39" i="11"/>
  <c r="B46" i="9"/>
  <c r="AI64" i="10"/>
  <c r="A65" i="10"/>
  <c r="AM64" i="10"/>
  <c r="B47" i="9"/>
  <c r="B40" i="11"/>
  <c r="AI65" i="10"/>
  <c r="AM65" i="10"/>
  <c r="A66" i="10"/>
  <c r="B48" i="9"/>
  <c r="B41" i="11"/>
  <c r="AI66" i="10"/>
  <c r="AM66" i="10"/>
  <c r="A67" i="10"/>
  <c r="B49" i="9"/>
  <c r="B42" i="11"/>
  <c r="AI67" i="10"/>
  <c r="AM67" i="10"/>
  <c r="A68" i="10"/>
  <c r="B50" i="9"/>
  <c r="B43" i="11"/>
  <c r="AI68" i="10"/>
  <c r="AM68" i="10"/>
  <c r="A69" i="10"/>
  <c r="B51" i="9"/>
  <c r="B44" i="11"/>
  <c r="AI69" i="10"/>
  <c r="AM69" i="10"/>
  <c r="A70" i="10"/>
  <c r="B52" i="9"/>
  <c r="B45" i="11"/>
  <c r="AI70" i="10"/>
  <c r="AM70" i="10"/>
  <c r="A71" i="10"/>
  <c r="B53" i="9"/>
  <c r="B46" i="11"/>
  <c r="AI71" i="10"/>
  <c r="AM71" i="10"/>
  <c r="A72" i="10"/>
  <c r="B54" i="9"/>
  <c r="B47" i="11"/>
  <c r="AI72" i="10"/>
  <c r="AM72" i="10"/>
  <c r="A73" i="10"/>
  <c r="B55" i="9"/>
  <c r="B48" i="11"/>
  <c r="AI73" i="10"/>
  <c r="AM73" i="10"/>
  <c r="A74" i="10"/>
  <c r="B56" i="9"/>
  <c r="B49" i="11"/>
  <c r="AI74" i="10"/>
  <c r="AM74" i="10"/>
  <c r="A75" i="10"/>
  <c r="B57" i="9"/>
  <c r="B50" i="11"/>
  <c r="AI75" i="10"/>
  <c r="AM75" i="10"/>
  <c r="A76" i="10"/>
  <c r="B58" i="9"/>
  <c r="B51" i="11"/>
  <c r="AI76" i="10"/>
  <c r="AM76" i="10"/>
  <c r="A77" i="10"/>
  <c r="B59" i="9"/>
  <c r="B52" i="11"/>
  <c r="AI77" i="10"/>
  <c r="AM77" i="10"/>
  <c r="A78" i="10"/>
  <c r="B60" i="9"/>
  <c r="B53" i="11"/>
  <c r="AI78" i="10"/>
  <c r="AM78" i="10"/>
  <c r="A79" i="10"/>
  <c r="B61" i="9"/>
  <c r="B54" i="11"/>
  <c r="AI79" i="10"/>
  <c r="AM79" i="10"/>
  <c r="A80" i="10"/>
  <c r="B62" i="9"/>
  <c r="B55" i="11"/>
  <c r="AI80" i="10"/>
  <c r="AM80" i="10"/>
  <c r="A81" i="10"/>
  <c r="B63" i="9"/>
  <c r="B56" i="11"/>
  <c r="AI81" i="10"/>
  <c r="AM81" i="10"/>
  <c r="A82" i="10"/>
  <c r="B64" i="9"/>
  <c r="B57" i="11"/>
  <c r="AI82" i="10"/>
  <c r="AM82" i="10"/>
  <c r="A83" i="10"/>
  <c r="B65" i="9"/>
  <c r="B58" i="11"/>
  <c r="AI83" i="10"/>
  <c r="AM83" i="10"/>
  <c r="A84" i="10"/>
  <c r="B66" i="9"/>
  <c r="B59" i="11"/>
  <c r="AI84" i="10"/>
  <c r="AM84" i="10"/>
  <c r="A85" i="10"/>
  <c r="B67" i="9"/>
  <c r="B60" i="11"/>
  <c r="AI85" i="10"/>
  <c r="AM85" i="10"/>
  <c r="A86" i="10"/>
  <c r="B61" i="11"/>
  <c r="B68" i="9"/>
  <c r="AI86" i="10"/>
  <c r="AM86" i="10"/>
  <c r="A87" i="10"/>
  <c r="B62" i="11"/>
  <c r="B69" i="9"/>
  <c r="AI87" i="10"/>
  <c r="AM87" i="10"/>
  <c r="A88" i="10"/>
  <c r="B70" i="9"/>
  <c r="B63" i="11"/>
  <c r="AI88" i="10"/>
  <c r="AM88" i="10"/>
  <c r="A89" i="10"/>
  <c r="B71" i="9"/>
  <c r="B64" i="11"/>
  <c r="AI89" i="10"/>
  <c r="AM89" i="10"/>
  <c r="A90" i="10"/>
  <c r="B72" i="9"/>
  <c r="B65" i="11"/>
  <c r="AI90" i="10"/>
  <c r="AM90" i="10"/>
  <c r="A91" i="10"/>
  <c r="B66" i="11"/>
  <c r="B73" i="9"/>
  <c r="AI91" i="10"/>
  <c r="AM91" i="10"/>
  <c r="A92" i="10"/>
  <c r="B67" i="11"/>
  <c r="B74" i="9"/>
  <c r="AI92" i="10"/>
  <c r="AM92" i="10"/>
  <c r="A93" i="10"/>
  <c r="B75" i="9"/>
  <c r="B68" i="11"/>
  <c r="AI93" i="10"/>
  <c r="AM93" i="10"/>
  <c r="A94" i="10"/>
  <c r="B76" i="9"/>
  <c r="B69" i="11"/>
  <c r="AI94" i="10"/>
  <c r="AM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B77" i="9"/>
  <c r="B70" i="11"/>
  <c r="B78" i="9"/>
  <c r="B71" i="11"/>
  <c r="B79" i="9"/>
  <c r="B72" i="11"/>
  <c r="B80" i="9"/>
  <c r="B73" i="11"/>
  <c r="B81" i="9"/>
  <c r="B74" i="11"/>
  <c r="B82" i="9"/>
  <c r="B75" i="11"/>
  <c r="B83" i="9"/>
  <c r="B76" i="11"/>
  <c r="B84" i="9"/>
  <c r="B77" i="11"/>
  <c r="B85" i="9"/>
  <c r="B78" i="11"/>
  <c r="B86" i="9"/>
  <c r="B79" i="11"/>
  <c r="B87" i="9"/>
  <c r="B80" i="11"/>
  <c r="B88" i="9"/>
  <c r="B81" i="11"/>
  <c r="B89" i="9"/>
  <c r="B82" i="11"/>
  <c r="B90" i="9"/>
  <c r="B83" i="11"/>
  <c r="B91" i="9"/>
  <c r="B84" i="11"/>
  <c r="B92" i="9"/>
  <c r="B85" i="11"/>
  <c r="B93" i="9"/>
  <c r="B86" i="11"/>
  <c r="B94" i="9"/>
  <c r="B87" i="11"/>
  <c r="B95" i="9"/>
  <c r="B88" i="11"/>
  <c r="B89" i="11"/>
  <c r="B96" i="9"/>
  <c r="B97" i="9"/>
  <c r="B90" i="11"/>
  <c r="B91" i="11"/>
  <c r="B98" i="9"/>
  <c r="B92" i="11"/>
  <c r="B99" i="9"/>
  <c r="B100" i="9"/>
  <c r="B93" i="11"/>
  <c r="B101" i="9"/>
  <c r="B94" i="11"/>
  <c r="B95" i="11"/>
  <c r="B102" i="9"/>
  <c r="B103" i="9"/>
  <c r="B96" i="11"/>
  <c r="B104" i="9"/>
  <c r="B97" i="11"/>
  <c r="B98" i="11"/>
  <c r="B105" i="9"/>
  <c r="B99" i="11"/>
  <c r="B106" i="9"/>
  <c r="B107" i="9"/>
  <c r="B100" i="11"/>
  <c r="B101" i="11"/>
  <c r="B108" i="9"/>
  <c r="B109" i="9"/>
  <c r="B102" i="11"/>
  <c r="B110" i="9"/>
  <c r="B103" i="11"/>
  <c r="B104" i="11"/>
  <c r="B111" i="9"/>
  <c r="B112" i="9"/>
  <c r="B105" i="11"/>
  <c r="B113" i="9"/>
  <c r="B106" i="11"/>
  <c r="B107" i="11"/>
  <c r="B114" i="9"/>
  <c r="B115" i="9"/>
  <c r="B108" i="11"/>
  <c r="B109" i="11"/>
  <c r="B116" i="9"/>
  <c r="B117" i="9"/>
  <c r="B110" i="11"/>
  <c r="B111" i="11"/>
  <c r="B118" i="9"/>
  <c r="B119" i="9"/>
  <c r="B112" i="11"/>
  <c r="B113" i="11"/>
  <c r="B120" i="9"/>
  <c r="B121" i="9"/>
  <c r="B114" i="11"/>
  <c r="B115" i="11"/>
  <c r="B122" i="9"/>
  <c r="B116" i="11"/>
  <c r="B123" i="9"/>
  <c r="B124" i="9"/>
  <c r="B117" i="11"/>
  <c r="B118" i="11"/>
  <c r="B125" i="9"/>
  <c r="B126" i="9"/>
  <c r="B119" i="11"/>
  <c r="B120" i="11"/>
  <c r="B127" i="9"/>
  <c r="B128" i="9"/>
  <c r="B121" i="11"/>
  <c r="B122" i="11"/>
  <c r="B129" i="9"/>
  <c r="B123" i="11"/>
  <c r="B130" i="9"/>
  <c r="B131" i="9"/>
  <c r="B124" i="11"/>
  <c r="B125" i="11"/>
  <c r="B132" i="9"/>
  <c r="B133" i="9"/>
  <c r="B126" i="11"/>
  <c r="B134" i="9"/>
  <c r="B127" i="11"/>
  <c r="B128" i="11"/>
  <c r="B135" i="9"/>
  <c r="B136" i="9"/>
  <c r="B130" i="11"/>
  <c r="B129" i="11"/>
  <c r="C5" i="9" l="1"/>
  <c r="F12" i="6"/>
  <c r="F5" i="9" l="1"/>
  <c r="C17" i="9"/>
  <c r="L35" i="10"/>
  <c r="W35" i="10"/>
  <c r="B35" i="10"/>
  <c r="H5" i="9" l="1"/>
  <c r="F13" i="6" s="1"/>
  <c r="D17" i="9"/>
  <c r="E17" i="9" s="1"/>
  <c r="M35" i="10"/>
  <c r="N35" i="10" s="1"/>
  <c r="Y35" i="10"/>
  <c r="X35" i="10"/>
  <c r="C35" i="10"/>
  <c r="D35" i="10" s="1"/>
  <c r="K17" i="9" l="1"/>
  <c r="J17" i="9"/>
  <c r="G17" i="9"/>
  <c r="F17" i="9"/>
  <c r="P35" i="10"/>
  <c r="O35" i="10"/>
  <c r="AD35" i="10"/>
  <c r="AA35" i="10"/>
  <c r="Z35" i="10"/>
  <c r="E35" i="10"/>
  <c r="F35" i="10"/>
  <c r="C11" i="11" l="1"/>
  <c r="H17" i="9"/>
  <c r="P17" i="9"/>
  <c r="AB35" i="10"/>
  <c r="Q35" i="10"/>
  <c r="G35" i="10"/>
  <c r="H35" i="10" s="1"/>
  <c r="I35" i="10"/>
  <c r="AN35" i="10" s="1"/>
  <c r="L17" i="9" l="1"/>
  <c r="AC35" i="10"/>
  <c r="AF35" i="10" s="1"/>
  <c r="R35" i="10"/>
  <c r="B36" i="10"/>
  <c r="AJ35" i="10"/>
  <c r="D11" i="11" l="1"/>
  <c r="AE35" i="10"/>
  <c r="AP35" i="10" s="1"/>
  <c r="AG35" i="10"/>
  <c r="W36" i="10"/>
  <c r="AL35" i="10"/>
  <c r="C36" i="10"/>
  <c r="D36" i="10" s="1"/>
  <c r="M17" i="9"/>
  <c r="T35" i="10"/>
  <c r="AO35" i="10" s="1"/>
  <c r="S35" i="10"/>
  <c r="X36" i="10" l="1"/>
  <c r="Y36" i="10" s="1"/>
  <c r="F36" i="10"/>
  <c r="E36" i="10"/>
  <c r="E11" i="11"/>
  <c r="AK35" i="10"/>
  <c r="L36" i="10"/>
  <c r="O17" i="9"/>
  <c r="N17" i="9"/>
  <c r="Q17" i="9"/>
  <c r="AA36" i="10" l="1"/>
  <c r="Z36" i="10"/>
  <c r="M36" i="10"/>
  <c r="N36" i="10" s="1"/>
  <c r="C18" i="9"/>
  <c r="O11" i="11"/>
  <c r="F11" i="11"/>
  <c r="A17" i="6"/>
  <c r="E17" i="6" s="1"/>
  <c r="G36" i="10"/>
  <c r="H36" i="10" s="1"/>
  <c r="I36" i="10"/>
  <c r="AN36" i="10" s="1"/>
  <c r="O36" i="10" l="1"/>
  <c r="P36" i="10"/>
  <c r="D18" i="9"/>
  <c r="E18" i="9" s="1"/>
  <c r="L11" i="11"/>
  <c r="B37" i="10"/>
  <c r="AJ36" i="10"/>
  <c r="AB36" i="10"/>
  <c r="J18" i="9" l="1"/>
  <c r="F18" i="9"/>
  <c r="G18" i="9"/>
  <c r="S10" i="11"/>
  <c r="N11" i="11"/>
  <c r="C37" i="10"/>
  <c r="D37" i="10" s="1"/>
  <c r="AC36" i="10"/>
  <c r="Q36" i="10"/>
  <c r="P18" i="9" l="1"/>
  <c r="C12" i="11"/>
  <c r="H18" i="9"/>
  <c r="B4" i="11"/>
  <c r="P11" i="11"/>
  <c r="U10" i="11"/>
  <c r="E37" i="10"/>
  <c r="F37" i="10"/>
  <c r="R36" i="10"/>
  <c r="K18" i="9"/>
  <c r="AD36" i="10"/>
  <c r="L18" i="9" l="1"/>
  <c r="G37" i="10"/>
  <c r="H37" i="10" s="1"/>
  <c r="I37" i="10"/>
  <c r="AN37" i="10" s="1"/>
  <c r="T36" i="10"/>
  <c r="AO36" i="10" s="1"/>
  <c r="S36" i="10"/>
  <c r="AE36" i="10"/>
  <c r="AP36" i="10" s="1"/>
  <c r="AF36" i="10"/>
  <c r="AG36" i="10"/>
  <c r="D12" i="11" l="1"/>
  <c r="AJ37" i="10"/>
  <c r="B38" i="10"/>
  <c r="AK36" i="10"/>
  <c r="L37" i="10"/>
  <c r="W37" i="10"/>
  <c r="AL36" i="10"/>
  <c r="M18" i="9"/>
  <c r="N18" i="9" l="1"/>
  <c r="O18" i="9"/>
  <c r="Q18" i="9"/>
  <c r="F12" i="11"/>
  <c r="C38" i="10"/>
  <c r="D38" i="10"/>
  <c r="M37" i="10"/>
  <c r="N37" i="10" s="1"/>
  <c r="X37" i="10"/>
  <c r="Y37" i="10" s="1"/>
  <c r="E12" i="11"/>
  <c r="O12" i="11" l="1"/>
  <c r="C19" i="9"/>
  <c r="L12" i="11"/>
  <c r="I38" i="10"/>
  <c r="AN38" i="10" s="1"/>
  <c r="F38" i="10"/>
  <c r="E38" i="10"/>
  <c r="P37" i="10"/>
  <c r="O37" i="10"/>
  <c r="Z37" i="10"/>
  <c r="AA37" i="10"/>
  <c r="D19" i="9" l="1"/>
  <c r="E19" i="9"/>
  <c r="S11" i="11"/>
  <c r="N12" i="11"/>
  <c r="G19" i="9"/>
  <c r="K19" i="9" s="1"/>
  <c r="J19" i="9"/>
  <c r="F19" i="9"/>
  <c r="G38" i="10"/>
  <c r="H38" i="10" s="1"/>
  <c r="Q37" i="10"/>
  <c r="AB37" i="10"/>
  <c r="AC37" i="10" s="1"/>
  <c r="AD37" i="10" l="1"/>
  <c r="P12" i="11"/>
  <c r="U11" i="11"/>
  <c r="H19" i="9"/>
  <c r="C13" i="11"/>
  <c r="P19" i="9"/>
  <c r="AJ38" i="10"/>
  <c r="B39" i="10"/>
  <c r="R37" i="10"/>
  <c r="AF37" i="10" l="1"/>
  <c r="AG37" i="10"/>
  <c r="AE37" i="10"/>
  <c r="AP37" i="10" s="1"/>
  <c r="L19" i="9"/>
  <c r="M19" i="9" s="1"/>
  <c r="O19" i="9" s="1"/>
  <c r="C39" i="10"/>
  <c r="D39" i="10" s="1"/>
  <c r="T37" i="10"/>
  <c r="AO37" i="10" s="1"/>
  <c r="S37" i="10"/>
  <c r="W38" i="10" l="1"/>
  <c r="AL37" i="10"/>
  <c r="D13" i="11"/>
  <c r="Q19" i="9"/>
  <c r="N19" i="9"/>
  <c r="C20" i="9"/>
  <c r="O13" i="11"/>
  <c r="E13" i="11"/>
  <c r="F39" i="10"/>
  <c r="E39" i="10"/>
  <c r="AK37" i="10"/>
  <c r="L38" i="10"/>
  <c r="X38" i="10" l="1"/>
  <c r="Y38" i="10" s="1"/>
  <c r="F13" i="11"/>
  <c r="L13" i="11" s="1"/>
  <c r="D20" i="9"/>
  <c r="E20" i="9" s="1"/>
  <c r="M38" i="10"/>
  <c r="N38" i="10" s="1"/>
  <c r="G39" i="10"/>
  <c r="H39" i="10" s="1"/>
  <c r="I39" i="10"/>
  <c r="AN39" i="10" s="1"/>
  <c r="Z38" i="10" l="1"/>
  <c r="AA38" i="10"/>
  <c r="AB38" i="10" s="1"/>
  <c r="AC38" i="10" s="1"/>
  <c r="N13" i="11"/>
  <c r="S12" i="11"/>
  <c r="J20" i="9"/>
  <c r="G20" i="9"/>
  <c r="F20" i="9"/>
  <c r="P20" i="9" s="1"/>
  <c r="P38" i="10"/>
  <c r="O38" i="10"/>
  <c r="B40" i="10"/>
  <c r="AJ39" i="10"/>
  <c r="P13" i="11" l="1"/>
  <c r="U12" i="11"/>
  <c r="C14" i="11"/>
  <c r="H20" i="9"/>
  <c r="C40" i="10"/>
  <c r="D40" i="10" s="1"/>
  <c r="AD38" i="10"/>
  <c r="AG38" i="10" s="1"/>
  <c r="K20" i="9"/>
  <c r="Q38" i="10"/>
  <c r="L20" i="9" l="1"/>
  <c r="E40" i="10"/>
  <c r="F40" i="10"/>
  <c r="R38" i="10"/>
  <c r="AF38" i="10"/>
  <c r="AE38" i="10"/>
  <c r="AP38" i="10" s="1"/>
  <c r="AL38" i="10" l="1"/>
  <c r="W39" i="10"/>
  <c r="X39" i="10" s="1"/>
  <c r="Y39" i="10" s="1"/>
  <c r="D14" i="11"/>
  <c r="M20" i="9"/>
  <c r="G40" i="10"/>
  <c r="H40" i="10" s="1"/>
  <c r="I40" i="10"/>
  <c r="AN40" i="10" s="1"/>
  <c r="T38" i="10"/>
  <c r="AO38" i="10" s="1"/>
  <c r="S38" i="10"/>
  <c r="AA39" i="10" l="1"/>
  <c r="Z39" i="10"/>
  <c r="AJ40" i="10"/>
  <c r="B41" i="10"/>
  <c r="AK38" i="10"/>
  <c r="L39" i="10"/>
  <c r="E14" i="11"/>
  <c r="N20" i="9"/>
  <c r="F14" i="11" s="1"/>
  <c r="L14" i="11" s="1"/>
  <c r="O20" i="9"/>
  <c r="Q20" i="9"/>
  <c r="AB39" i="10" l="1"/>
  <c r="C41" i="10"/>
  <c r="D41" i="10" s="1"/>
  <c r="M39" i="10"/>
  <c r="N39" i="10" s="1"/>
  <c r="AC39" i="10"/>
  <c r="N14" i="11"/>
  <c r="S13" i="11"/>
  <c r="O14" i="11"/>
  <c r="C21" i="9"/>
  <c r="E41" i="10" l="1"/>
  <c r="F41" i="10"/>
  <c r="O39" i="10"/>
  <c r="P39" i="10"/>
  <c r="AD39" i="10"/>
  <c r="AG39" i="10" s="1"/>
  <c r="P14" i="11"/>
  <c r="U13" i="11"/>
  <c r="D21" i="9"/>
  <c r="E21" i="9" s="1"/>
  <c r="J21" i="9" l="1"/>
  <c r="G21" i="9"/>
  <c r="F21" i="9"/>
  <c r="P21" i="9" s="1"/>
  <c r="G41" i="10"/>
  <c r="H41" i="10" s="1"/>
  <c r="I41" i="10"/>
  <c r="AN41" i="10" s="1"/>
  <c r="Q39" i="10"/>
  <c r="R39" i="10" s="1"/>
  <c r="AF39" i="10"/>
  <c r="AE39" i="10"/>
  <c r="AP39" i="10" s="1"/>
  <c r="T39" i="10" l="1"/>
  <c r="AO39" i="10" s="1"/>
  <c r="S39" i="10"/>
  <c r="H21" i="9"/>
  <c r="C15" i="11"/>
  <c r="AJ41" i="10"/>
  <c r="B42" i="10"/>
  <c r="W40" i="10"/>
  <c r="AL39" i="10"/>
  <c r="K21" i="9"/>
  <c r="AK39" i="10" l="1"/>
  <c r="L40" i="10"/>
  <c r="L21" i="9"/>
  <c r="C42" i="10"/>
  <c r="D42" i="10"/>
  <c r="M40" i="10"/>
  <c r="N40" i="10" s="1"/>
  <c r="X40" i="10"/>
  <c r="Y40" i="10" s="1"/>
  <c r="M21" i="9" l="1"/>
  <c r="D15" i="11"/>
  <c r="E42" i="10"/>
  <c r="F42" i="10"/>
  <c r="P40" i="10"/>
  <c r="O40" i="10"/>
  <c r="Z40" i="10"/>
  <c r="AA40" i="10"/>
  <c r="E15" i="11" l="1"/>
  <c r="O21" i="9"/>
  <c r="N21" i="9"/>
  <c r="F15" i="11" s="1"/>
  <c r="L15" i="11" s="1"/>
  <c r="Q21" i="9"/>
  <c r="Q40" i="10"/>
  <c r="G42" i="10"/>
  <c r="H42" i="10" s="1"/>
  <c r="I42" i="10"/>
  <c r="AN42" i="10" s="1"/>
  <c r="AB40" i="10"/>
  <c r="C22" i="9" l="1"/>
  <c r="O15" i="11"/>
  <c r="S14" i="11"/>
  <c r="N15" i="11"/>
  <c r="R40" i="10"/>
  <c r="AJ42" i="10"/>
  <c r="B43" i="10"/>
  <c r="AC40" i="10"/>
  <c r="D22" i="9" l="1"/>
  <c r="E22" i="9" s="1"/>
  <c r="U14" i="11"/>
  <c r="P15" i="11"/>
  <c r="T40" i="10"/>
  <c r="AO40" i="10" s="1"/>
  <c r="S40" i="10"/>
  <c r="C43" i="10"/>
  <c r="D43" i="10"/>
  <c r="AD40" i="10"/>
  <c r="G22" i="9" l="1"/>
  <c r="K22" i="9" s="1"/>
  <c r="F22" i="9"/>
  <c r="P22" i="9" s="1"/>
  <c r="J22" i="9"/>
  <c r="L41" i="10"/>
  <c r="AK40" i="10"/>
  <c r="AF40" i="10"/>
  <c r="W41" i="10" s="1"/>
  <c r="AE40" i="10"/>
  <c r="AP40" i="10" s="1"/>
  <c r="AG40" i="10"/>
  <c r="F43" i="10"/>
  <c r="I43" i="10" s="1"/>
  <c r="AN43" i="10" s="1"/>
  <c r="E43" i="10"/>
  <c r="AL40" i="10"/>
  <c r="C16" i="11" l="1"/>
  <c r="H22" i="9"/>
  <c r="M41" i="10"/>
  <c r="N41" i="10" s="1"/>
  <c r="X41" i="10"/>
  <c r="Y41" i="10" s="1"/>
  <c r="G43" i="10"/>
  <c r="H43" i="10" s="1"/>
  <c r="L22" i="9" l="1"/>
  <c r="O41" i="10"/>
  <c r="P41" i="10"/>
  <c r="Z41" i="10"/>
  <c r="AA41" i="10"/>
  <c r="AJ43" i="10"/>
  <c r="B44" i="10"/>
  <c r="Q41" i="10"/>
  <c r="D16" i="11" l="1"/>
  <c r="M22" i="9"/>
  <c r="C44" i="10"/>
  <c r="D44" i="10" s="1"/>
  <c r="R41" i="10"/>
  <c r="AB41" i="10"/>
  <c r="Q22" i="9" l="1"/>
  <c r="E16" i="11"/>
  <c r="N22" i="9"/>
  <c r="F16" i="11" s="1"/>
  <c r="L16" i="11" s="1"/>
  <c r="O22" i="9"/>
  <c r="S15" i="11"/>
  <c r="N16" i="11"/>
  <c r="O16" i="11"/>
  <c r="C23" i="9"/>
  <c r="D23" i="9" s="1"/>
  <c r="E23" i="9" s="1"/>
  <c r="T41" i="10"/>
  <c r="AO41" i="10" s="1"/>
  <c r="S41" i="10"/>
  <c r="F44" i="10"/>
  <c r="I44" i="10" s="1"/>
  <c r="AN44" i="10" s="1"/>
  <c r="E44" i="10"/>
  <c r="L42" i="10"/>
  <c r="AK41" i="10"/>
  <c r="AC41" i="10"/>
  <c r="P16" i="11" l="1"/>
  <c r="U15" i="11"/>
  <c r="AD41" i="10"/>
  <c r="AE41" i="10" s="1"/>
  <c r="AP41" i="10" s="1"/>
  <c r="M42" i="10"/>
  <c r="N42" i="10" s="1"/>
  <c r="F23" i="9"/>
  <c r="P23" i="9" s="1"/>
  <c r="G23" i="9"/>
  <c r="K23" i="9" s="1"/>
  <c r="J23" i="9"/>
  <c r="G44" i="10"/>
  <c r="H44" i="10" s="1"/>
  <c r="AG41" i="10" l="1"/>
  <c r="AF41" i="10"/>
  <c r="P42" i="10"/>
  <c r="O42" i="10"/>
  <c r="H23" i="9"/>
  <c r="C17" i="11"/>
  <c r="AJ44" i="10"/>
  <c r="B45" i="10"/>
  <c r="AL41" i="10" l="1"/>
  <c r="W42" i="10"/>
  <c r="X42" i="10" s="1"/>
  <c r="Y42" i="10" s="1"/>
  <c r="L23" i="9"/>
  <c r="M23" i="9" s="1"/>
  <c r="E17" i="11" s="1"/>
  <c r="C45" i="10"/>
  <c r="D45" i="10" s="1"/>
  <c r="Q42" i="10"/>
  <c r="O23" i="9" l="1"/>
  <c r="AA42" i="10"/>
  <c r="Z42" i="10"/>
  <c r="D17" i="11"/>
  <c r="Q23" i="9"/>
  <c r="N23" i="9"/>
  <c r="F17" i="11" s="1"/>
  <c r="L17" i="11" s="1"/>
  <c r="O17" i="11"/>
  <c r="C24" i="9"/>
  <c r="F45" i="10"/>
  <c r="E45" i="10"/>
  <c r="R42" i="10"/>
  <c r="AB42" i="10" l="1"/>
  <c r="N17" i="11"/>
  <c r="S16" i="11"/>
  <c r="D24" i="9"/>
  <c r="E24" i="9" s="1"/>
  <c r="AC42" i="10"/>
  <c r="G45" i="10"/>
  <c r="H45" i="10" s="1"/>
  <c r="I45" i="10"/>
  <c r="AN45" i="10" s="1"/>
  <c r="T42" i="10"/>
  <c r="AO42" i="10" s="1"/>
  <c r="S42" i="10"/>
  <c r="P17" i="11" l="1"/>
  <c r="U16" i="11"/>
  <c r="J24" i="9"/>
  <c r="G24" i="9"/>
  <c r="F24" i="9"/>
  <c r="P24" i="9" s="1"/>
  <c r="B46" i="10"/>
  <c r="AJ45" i="10"/>
  <c r="L43" i="10"/>
  <c r="AK42" i="10"/>
  <c r="AD42" i="10"/>
  <c r="H24" i="9" l="1"/>
  <c r="C18" i="11"/>
  <c r="C46" i="10"/>
  <c r="D46" i="10" s="1"/>
  <c r="M43" i="10"/>
  <c r="N43" i="10" s="1"/>
  <c r="K24" i="9"/>
  <c r="AE42" i="10"/>
  <c r="AP42" i="10" s="1"/>
  <c r="AG42" i="10"/>
  <c r="AF42" i="10"/>
  <c r="L24" i="9" l="1"/>
  <c r="I46" i="10"/>
  <c r="AN46" i="10" s="1"/>
  <c r="F46" i="10"/>
  <c r="G46" i="10" s="1"/>
  <c r="H46" i="10" s="1"/>
  <c r="E46" i="10"/>
  <c r="O43" i="10"/>
  <c r="P43" i="10"/>
  <c r="W43" i="10"/>
  <c r="AL42" i="10"/>
  <c r="D18" i="11" l="1"/>
  <c r="AJ46" i="10"/>
  <c r="B47" i="10"/>
  <c r="X43" i="10"/>
  <c r="Y43" i="10" s="1"/>
  <c r="M24" i="9"/>
  <c r="Q43" i="10"/>
  <c r="R43" i="10" s="1"/>
  <c r="N24" i="9" l="1"/>
  <c r="F18" i="11" s="1"/>
  <c r="L18" i="11" s="1"/>
  <c r="Q24" i="9"/>
  <c r="T43" i="10"/>
  <c r="AO43" i="10" s="1"/>
  <c r="S43" i="10"/>
  <c r="C47" i="10"/>
  <c r="D47" i="10" s="1"/>
  <c r="AA43" i="10"/>
  <c r="Z43" i="10"/>
  <c r="E18" i="11"/>
  <c r="O24" i="9"/>
  <c r="S17" i="11" l="1"/>
  <c r="N18" i="11"/>
  <c r="P18" i="11" s="1"/>
  <c r="L44" i="10"/>
  <c r="M44" i="10" s="1"/>
  <c r="N44" i="10" s="1"/>
  <c r="AK43" i="10"/>
  <c r="U17" i="11"/>
  <c r="F47" i="10"/>
  <c r="I47" i="10" s="1"/>
  <c r="AN47" i="10" s="1"/>
  <c r="E47" i="10"/>
  <c r="C25" i="9"/>
  <c r="O18" i="11"/>
  <c r="AB43" i="10"/>
  <c r="O44" i="10" l="1"/>
  <c r="P44" i="10"/>
  <c r="D25" i="9"/>
  <c r="E25" i="9" s="1"/>
  <c r="AC43" i="10"/>
  <c r="AD43" i="10" s="1"/>
  <c r="G47" i="10"/>
  <c r="H47" i="10" s="1"/>
  <c r="AF43" i="10" l="1"/>
  <c r="F25" i="9"/>
  <c r="P25" i="9" s="1"/>
  <c r="J25" i="9"/>
  <c r="G25" i="9"/>
  <c r="AE43" i="10"/>
  <c r="AP43" i="10" s="1"/>
  <c r="AG43" i="10"/>
  <c r="AJ47" i="10"/>
  <c r="B48" i="10"/>
  <c r="Q44" i="10"/>
  <c r="AL43" i="10" l="1"/>
  <c r="W44" i="10"/>
  <c r="C19" i="11"/>
  <c r="H25" i="9"/>
  <c r="X44" i="10"/>
  <c r="Y44" i="10" s="1"/>
  <c r="C48" i="10"/>
  <c r="D48" i="10" s="1"/>
  <c r="R44" i="10"/>
  <c r="K25" i="9"/>
  <c r="L25" i="9" l="1"/>
  <c r="M25" i="9"/>
  <c r="E19" i="11" s="1"/>
  <c r="AA44" i="10"/>
  <c r="Z44" i="10"/>
  <c r="F48" i="10"/>
  <c r="E48" i="10"/>
  <c r="T44" i="10"/>
  <c r="AO44" i="10" s="1"/>
  <c r="S44" i="10"/>
  <c r="O25" i="9" l="1"/>
  <c r="N25" i="9"/>
  <c r="F19" i="11" s="1"/>
  <c r="L19" i="11" s="1"/>
  <c r="D19" i="11"/>
  <c r="Q25" i="9"/>
  <c r="L45" i="10"/>
  <c r="AK44" i="10"/>
  <c r="AB44" i="10"/>
  <c r="G48" i="10"/>
  <c r="H48" i="10" s="1"/>
  <c r="I48" i="10"/>
  <c r="AN48" i="10" s="1"/>
  <c r="C26" i="9" l="1"/>
  <c r="O19" i="11"/>
  <c r="S18" i="11"/>
  <c r="N19" i="11"/>
  <c r="D26" i="9"/>
  <c r="E26" i="9" s="1"/>
  <c r="M45" i="10"/>
  <c r="N45" i="10" s="1"/>
  <c r="AC44" i="10"/>
  <c r="B49" i="10"/>
  <c r="AJ48" i="10"/>
  <c r="P19" i="11" l="1"/>
  <c r="U18" i="11"/>
  <c r="G26" i="9"/>
  <c r="K26" i="9"/>
  <c r="J26" i="9"/>
  <c r="F26" i="9"/>
  <c r="P26" i="9" s="1"/>
  <c r="O45" i="10"/>
  <c r="P45" i="10"/>
  <c r="C49" i="10"/>
  <c r="D49" i="10" s="1"/>
  <c r="AD44" i="10"/>
  <c r="H26" i="9" l="1"/>
  <c r="C20" i="11"/>
  <c r="F49" i="10"/>
  <c r="E49" i="10"/>
  <c r="Q45" i="10"/>
  <c r="AF44" i="10"/>
  <c r="AE44" i="10"/>
  <c r="AP44" i="10" s="1"/>
  <c r="AG44" i="10"/>
  <c r="L26" i="9" l="1"/>
  <c r="R45" i="10"/>
  <c r="AL44" i="10"/>
  <c r="W45" i="10"/>
  <c r="G49" i="10"/>
  <c r="H49" i="10" s="1"/>
  <c r="I49" i="10"/>
  <c r="AN49" i="10" s="1"/>
  <c r="D20" i="11" l="1"/>
  <c r="X45" i="10"/>
  <c r="Y45" i="10" s="1"/>
  <c r="AJ49" i="10"/>
  <c r="B50" i="10"/>
  <c r="M26" i="9"/>
  <c r="Q26" i="9" s="1"/>
  <c r="T45" i="10"/>
  <c r="AO45" i="10" s="1"/>
  <c r="S45" i="10"/>
  <c r="Z45" i="10" l="1"/>
  <c r="AA45" i="10"/>
  <c r="C50" i="10"/>
  <c r="D50" i="10" s="1"/>
  <c r="L46" i="10"/>
  <c r="AK45" i="10"/>
  <c r="E20" i="11"/>
  <c r="N26" i="9"/>
  <c r="F20" i="11" s="1"/>
  <c r="L20" i="11" s="1"/>
  <c r="O26" i="9"/>
  <c r="E50" i="10" l="1"/>
  <c r="F50" i="10"/>
  <c r="I50" i="10"/>
  <c r="AN50" i="10" s="1"/>
  <c r="M46" i="10"/>
  <c r="N46" i="10" s="1"/>
  <c r="S19" i="11"/>
  <c r="N20" i="11"/>
  <c r="C27" i="9"/>
  <c r="O20" i="11"/>
  <c r="AB45" i="10"/>
  <c r="P46" i="10" l="1"/>
  <c r="O46" i="10"/>
  <c r="P20" i="11"/>
  <c r="U19" i="11"/>
  <c r="D27" i="9"/>
  <c r="E27" i="9" s="1"/>
  <c r="AC45" i="10"/>
  <c r="G50" i="10"/>
  <c r="H50" i="10" s="1"/>
  <c r="G27" i="9" l="1"/>
  <c r="K27" i="9"/>
  <c r="F27" i="9"/>
  <c r="P27" i="9" s="1"/>
  <c r="J27" i="9"/>
  <c r="B51" i="10"/>
  <c r="AJ50" i="10"/>
  <c r="Q46" i="10"/>
  <c r="AD45" i="10"/>
  <c r="AF45" i="10" s="1"/>
  <c r="H27" i="9" l="1"/>
  <c r="C21" i="11"/>
  <c r="C51" i="10"/>
  <c r="D51" i="10" s="1"/>
  <c r="R46" i="10"/>
  <c r="W46" i="10"/>
  <c r="AL45" i="10"/>
  <c r="AE45" i="10"/>
  <c r="AP45" i="10" s="1"/>
  <c r="AG45" i="10"/>
  <c r="L27" i="9" l="1"/>
  <c r="H51" i="10"/>
  <c r="E51" i="10"/>
  <c r="F51" i="10"/>
  <c r="X46" i="10"/>
  <c r="Y46" i="10" s="1"/>
  <c r="T46" i="10"/>
  <c r="AO46" i="10" s="1"/>
  <c r="S46" i="10"/>
  <c r="D21" i="11" l="1"/>
  <c r="B52" i="10"/>
  <c r="AJ51" i="10"/>
  <c r="AA46" i="10"/>
  <c r="Z46" i="10"/>
  <c r="L47" i="10"/>
  <c r="AK46" i="10"/>
  <c r="M27" i="9"/>
  <c r="Q27" i="9" s="1"/>
  <c r="G51" i="10"/>
  <c r="I51" i="10"/>
  <c r="AN51" i="10" s="1"/>
  <c r="C52" i="10" l="1"/>
  <c r="D52" i="10" s="1"/>
  <c r="M47" i="10"/>
  <c r="N47" i="10"/>
  <c r="AB46" i="10"/>
  <c r="E21" i="11"/>
  <c r="N27" i="9"/>
  <c r="F21" i="11" s="1"/>
  <c r="L21" i="11" s="1"/>
  <c r="O27" i="9"/>
  <c r="E52" i="10" l="1"/>
  <c r="F52" i="10"/>
  <c r="P47" i="10"/>
  <c r="O47" i="10"/>
  <c r="AC46" i="10"/>
  <c r="N21" i="11"/>
  <c r="S20" i="11"/>
  <c r="C28" i="9"/>
  <c r="O21" i="11"/>
  <c r="AE46" i="10" l="1"/>
  <c r="AP46" i="10" s="1"/>
  <c r="P21" i="11"/>
  <c r="U20" i="11"/>
  <c r="D28" i="9"/>
  <c r="E28" i="9" s="1"/>
  <c r="Q47" i="10"/>
  <c r="G52" i="10"/>
  <c r="H52" i="10" s="1"/>
  <c r="I52" i="10"/>
  <c r="AN52" i="10" s="1"/>
  <c r="AD46" i="10"/>
  <c r="AF46" i="10" l="1"/>
  <c r="AG46" i="10"/>
  <c r="G28" i="9"/>
  <c r="F28" i="9"/>
  <c r="P28" i="9" s="1"/>
  <c r="J28" i="9"/>
  <c r="R47" i="10"/>
  <c r="B53" i="10"/>
  <c r="AJ52" i="10"/>
  <c r="W47" i="10"/>
  <c r="AL46" i="10"/>
  <c r="C22" i="11" l="1"/>
  <c r="H28" i="9"/>
  <c r="C53" i="10"/>
  <c r="D53" i="10"/>
  <c r="X47" i="10"/>
  <c r="Y47" i="10" s="1"/>
  <c r="K28" i="9"/>
  <c r="T47" i="10"/>
  <c r="AO47" i="10" s="1"/>
  <c r="S47" i="10"/>
  <c r="L28" i="9" l="1"/>
  <c r="F53" i="10"/>
  <c r="E53" i="10"/>
  <c r="I53" i="10"/>
  <c r="AN53" i="10" s="1"/>
  <c r="AA47" i="10"/>
  <c r="Z47" i="10"/>
  <c r="AK47" i="10"/>
  <c r="L48" i="10"/>
  <c r="D22" i="11" l="1"/>
  <c r="M48" i="10"/>
  <c r="N48" i="10" s="1"/>
  <c r="G53" i="10"/>
  <c r="H53" i="10" s="1"/>
  <c r="AB47" i="10"/>
  <c r="M28" i="9"/>
  <c r="O48" i="10" l="1"/>
  <c r="P48" i="10"/>
  <c r="AJ53" i="10"/>
  <c r="B54" i="10"/>
  <c r="AC47" i="10"/>
  <c r="E22" i="11"/>
  <c r="O28" i="9"/>
  <c r="N28" i="9"/>
  <c r="F22" i="11" s="1"/>
  <c r="L22" i="11" s="1"/>
  <c r="Q28" i="9"/>
  <c r="C54" i="10" l="1"/>
  <c r="D54" i="10"/>
  <c r="C29" i="9"/>
  <c r="O22" i="11"/>
  <c r="N22" i="11"/>
  <c r="S21" i="11"/>
  <c r="Q48" i="10"/>
  <c r="AD47" i="10"/>
  <c r="AF47" i="10" l="1"/>
  <c r="AG47" i="10"/>
  <c r="AE47" i="10"/>
  <c r="AP47" i="10" s="1"/>
  <c r="E54" i="10"/>
  <c r="F54" i="10"/>
  <c r="D29" i="9"/>
  <c r="E29" i="9" s="1"/>
  <c r="P22" i="11"/>
  <c r="U21" i="11"/>
  <c r="R48" i="10"/>
  <c r="W48" i="10" l="1"/>
  <c r="X48" i="10" s="1"/>
  <c r="Y48" i="10" s="1"/>
  <c r="AL47" i="10"/>
  <c r="G29" i="9"/>
  <c r="F29" i="9"/>
  <c r="P29" i="9" s="1"/>
  <c r="J29" i="9"/>
  <c r="G54" i="10"/>
  <c r="H54" i="10" s="1"/>
  <c r="I54" i="10"/>
  <c r="AN54" i="10" s="1"/>
  <c r="T48" i="10"/>
  <c r="AO48" i="10" s="1"/>
  <c r="S48" i="10"/>
  <c r="H29" i="9" l="1"/>
  <c r="C23" i="11"/>
  <c r="Z48" i="10"/>
  <c r="AA48" i="10"/>
  <c r="B55" i="10"/>
  <c r="AJ54" i="10"/>
  <c r="AK48" i="10"/>
  <c r="L49" i="10"/>
  <c r="K29" i="9"/>
  <c r="L29" i="9" l="1"/>
  <c r="C55" i="10"/>
  <c r="D55" i="10" s="1"/>
  <c r="M49" i="10"/>
  <c r="N49" i="10" s="1"/>
  <c r="AB48" i="10"/>
  <c r="AC48" i="10" s="1"/>
  <c r="AD48" i="10" l="1"/>
  <c r="D23" i="11"/>
  <c r="E55" i="10"/>
  <c r="F55" i="10"/>
  <c r="O49" i="10"/>
  <c r="P49" i="10"/>
  <c r="Q49" i="10" s="1"/>
  <c r="R49" i="10" s="1"/>
  <c r="T49" i="10" s="1"/>
  <c r="AO49" i="10" s="1"/>
  <c r="M29" i="9"/>
  <c r="S49" i="10" l="1"/>
  <c r="AE48" i="10"/>
  <c r="AP48" i="10" s="1"/>
  <c r="AF48" i="10"/>
  <c r="AG48" i="10"/>
  <c r="G55" i="10"/>
  <c r="H55" i="10" s="1"/>
  <c r="I55" i="10"/>
  <c r="AN55" i="10" s="1"/>
  <c r="E23" i="11"/>
  <c r="N29" i="9"/>
  <c r="F23" i="11" s="1"/>
  <c r="L23" i="11" s="1"/>
  <c r="Q29" i="9"/>
  <c r="O29" i="9"/>
  <c r="W49" i="10" l="1"/>
  <c r="X49" i="10" s="1"/>
  <c r="Y49" i="10" s="1"/>
  <c r="AL48" i="10"/>
  <c r="AK49" i="10"/>
  <c r="L50" i="10"/>
  <c r="M50" i="10"/>
  <c r="N50" i="10" s="1"/>
  <c r="B56" i="10"/>
  <c r="AJ55" i="10"/>
  <c r="N23" i="11"/>
  <c r="S22" i="11"/>
  <c r="C30" i="9"/>
  <c r="O23" i="11"/>
  <c r="AA49" i="10" l="1"/>
  <c r="Z49" i="10"/>
  <c r="O50" i="10"/>
  <c r="P50" i="10"/>
  <c r="C56" i="10"/>
  <c r="D56" i="10"/>
  <c r="P23" i="11"/>
  <c r="U22" i="11"/>
  <c r="D30" i="9"/>
  <c r="E30" i="9" s="1"/>
  <c r="AB49" i="10"/>
  <c r="F56" i="10" l="1"/>
  <c r="I56" i="10"/>
  <c r="AN56" i="10" s="1"/>
  <c r="E56" i="10"/>
  <c r="J30" i="9"/>
  <c r="G30" i="9"/>
  <c r="F30" i="9"/>
  <c r="P30" i="9" s="1"/>
  <c r="AC49" i="10"/>
  <c r="Q50" i="10"/>
  <c r="H30" i="9" l="1"/>
  <c r="C24" i="11"/>
  <c r="AD49" i="10"/>
  <c r="R50" i="10"/>
  <c r="G56" i="10"/>
  <c r="H56" i="10" s="1"/>
  <c r="K30" i="9"/>
  <c r="L30" i="9" l="1"/>
  <c r="AJ56" i="10"/>
  <c r="B57" i="10"/>
  <c r="AF49" i="10"/>
  <c r="AE49" i="10"/>
  <c r="AP49" i="10" s="1"/>
  <c r="AG49" i="10"/>
  <c r="T50" i="10"/>
  <c r="AO50" i="10" s="1"/>
  <c r="S50" i="10"/>
  <c r="D24" i="11" l="1"/>
  <c r="C57" i="10"/>
  <c r="D57" i="10" s="1"/>
  <c r="AL49" i="10"/>
  <c r="W50" i="10"/>
  <c r="L51" i="10"/>
  <c r="AK50" i="10"/>
  <c r="M30" i="9"/>
  <c r="F57" i="10" l="1"/>
  <c r="I57" i="10"/>
  <c r="AN57" i="10" s="1"/>
  <c r="E57" i="10"/>
  <c r="X50" i="10"/>
  <c r="Y50" i="10" s="1"/>
  <c r="M51" i="10"/>
  <c r="N51" i="10" s="1"/>
  <c r="E24" i="11"/>
  <c r="N30" i="9"/>
  <c r="F24" i="11" s="1"/>
  <c r="L24" i="11" s="1"/>
  <c r="O30" i="9"/>
  <c r="Q30" i="9"/>
  <c r="Z50" i="10" l="1"/>
  <c r="AA50" i="10"/>
  <c r="O51" i="10"/>
  <c r="P51" i="10"/>
  <c r="N24" i="11"/>
  <c r="S23" i="11"/>
  <c r="O24" i="11"/>
  <c r="C31" i="9"/>
  <c r="G57" i="10"/>
  <c r="H57" i="10" s="1"/>
  <c r="P24" i="11" l="1"/>
  <c r="U23" i="11"/>
  <c r="D31" i="9"/>
  <c r="E31" i="9" s="1"/>
  <c r="AJ57" i="10"/>
  <c r="B58" i="10"/>
  <c r="AB50" i="10"/>
  <c r="Q51" i="10"/>
  <c r="AC50" i="10" l="1"/>
  <c r="G31" i="9"/>
  <c r="K31" i="9" s="1"/>
  <c r="F31" i="9"/>
  <c r="P31" i="9" s="1"/>
  <c r="J31" i="9"/>
  <c r="C58" i="10"/>
  <c r="D58" i="10"/>
  <c r="R51" i="10"/>
  <c r="AD50" i="10" l="1"/>
  <c r="H31" i="9"/>
  <c r="C25" i="11"/>
  <c r="F58" i="10"/>
  <c r="E58" i="10"/>
  <c r="T51" i="10"/>
  <c r="AO51" i="10" s="1"/>
  <c r="S51" i="10"/>
  <c r="AG50" i="10" l="1"/>
  <c r="AF50" i="10"/>
  <c r="AE50" i="10"/>
  <c r="AP50" i="10" s="1"/>
  <c r="L31" i="9"/>
  <c r="M31" i="9" s="1"/>
  <c r="AK51" i="10"/>
  <c r="L52" i="10"/>
  <c r="G58" i="10"/>
  <c r="H58" i="10" s="1"/>
  <c r="I58" i="10"/>
  <c r="AN58" i="10" s="1"/>
  <c r="W51" i="10" l="1"/>
  <c r="X51" i="10" s="1"/>
  <c r="Y51" i="10" s="1"/>
  <c r="AL50" i="10"/>
  <c r="D25" i="11"/>
  <c r="Q31" i="9"/>
  <c r="N31" i="9"/>
  <c r="F25" i="11" s="1"/>
  <c r="L25" i="11" s="1"/>
  <c r="Z51" i="10"/>
  <c r="AA51" i="10"/>
  <c r="M52" i="10"/>
  <c r="N52" i="10" s="1"/>
  <c r="AJ58" i="10"/>
  <c r="B59" i="10"/>
  <c r="O31" i="9"/>
  <c r="E25" i="11"/>
  <c r="N25" i="11" l="1"/>
  <c r="S24" i="11"/>
  <c r="P52" i="10"/>
  <c r="O52" i="10"/>
  <c r="C59" i="10"/>
  <c r="D59" i="10" s="1"/>
  <c r="C32" i="9"/>
  <c r="O25" i="11"/>
  <c r="AB51" i="10"/>
  <c r="P25" i="11" l="1"/>
  <c r="U24" i="11"/>
  <c r="F59" i="10"/>
  <c r="E59" i="10"/>
  <c r="D32" i="9"/>
  <c r="E32" i="9"/>
  <c r="AC51" i="10"/>
  <c r="Q52" i="10"/>
  <c r="G32" i="9" l="1"/>
  <c r="J32" i="9"/>
  <c r="F32" i="9"/>
  <c r="P32" i="9" s="1"/>
  <c r="R52" i="10"/>
  <c r="G59" i="10"/>
  <c r="H59" i="10" s="1"/>
  <c r="I59" i="10"/>
  <c r="AN59" i="10" s="1"/>
  <c r="AD51" i="10"/>
  <c r="C26" i="11" l="1"/>
  <c r="H32" i="9"/>
  <c r="AJ59" i="10"/>
  <c r="B60" i="10"/>
  <c r="K32" i="9"/>
  <c r="T52" i="10"/>
  <c r="AO52" i="10" s="1"/>
  <c r="S52" i="10"/>
  <c r="AE51" i="10"/>
  <c r="AP51" i="10" s="1"/>
  <c r="AG51" i="10"/>
  <c r="AF51" i="10"/>
  <c r="L32" i="9" l="1"/>
  <c r="C60" i="10"/>
  <c r="D60" i="10"/>
  <c r="AK52" i="10"/>
  <c r="L53" i="10"/>
  <c r="W52" i="10"/>
  <c r="AL51" i="10"/>
  <c r="M32" i="9" l="1"/>
  <c r="N32" i="9"/>
  <c r="F26" i="11" s="1"/>
  <c r="L26" i="11" s="1"/>
  <c r="D26" i="11"/>
  <c r="F60" i="10"/>
  <c r="I60" i="10" s="1"/>
  <c r="AN60" i="10" s="1"/>
  <c r="E60" i="10"/>
  <c r="M53" i="10"/>
  <c r="N53" i="10" s="1"/>
  <c r="X52" i="10"/>
  <c r="Y52" i="10" s="1"/>
  <c r="E26" i="11" l="1"/>
  <c r="Q32" i="9"/>
  <c r="O32" i="9"/>
  <c r="C33" i="9"/>
  <c r="O26" i="11"/>
  <c r="S25" i="11"/>
  <c r="N26" i="11"/>
  <c r="D33" i="9"/>
  <c r="E33" i="9" s="1"/>
  <c r="P53" i="10"/>
  <c r="O53" i="10"/>
  <c r="Z52" i="10"/>
  <c r="AA52" i="10"/>
  <c r="G60" i="10"/>
  <c r="H60" i="10" s="1"/>
  <c r="P26" i="11" l="1"/>
  <c r="U25" i="11"/>
  <c r="F33" i="9"/>
  <c r="P33" i="9" s="1"/>
  <c r="G33" i="9"/>
  <c r="K33" i="9" s="1"/>
  <c r="J33" i="9"/>
  <c r="AJ60" i="10"/>
  <c r="B61" i="10"/>
  <c r="Q53" i="10"/>
  <c r="AB52" i="10"/>
  <c r="C27" i="11" l="1"/>
  <c r="H33" i="9"/>
  <c r="C61" i="10"/>
  <c r="D61" i="10"/>
  <c r="R53" i="10"/>
  <c r="AC52" i="10"/>
  <c r="AD52" i="10"/>
  <c r="AF52" i="10" s="1"/>
  <c r="L33" i="9" l="1"/>
  <c r="F61" i="10"/>
  <c r="I61" i="10" s="1"/>
  <c r="AN61" i="10" s="1"/>
  <c r="E61" i="10"/>
  <c r="AE52" i="10"/>
  <c r="AP52" i="10" s="1"/>
  <c r="AG52" i="10"/>
  <c r="AL52" i="10"/>
  <c r="W53" i="10"/>
  <c r="T53" i="10"/>
  <c r="AO53" i="10" s="1"/>
  <c r="S53" i="10"/>
  <c r="D27" i="11" l="1"/>
  <c r="Q33" i="9"/>
  <c r="X53" i="10"/>
  <c r="Y53" i="10" s="1"/>
  <c r="L54" i="10"/>
  <c r="AK53" i="10"/>
  <c r="G61" i="10"/>
  <c r="H61" i="10" s="1"/>
  <c r="M33" i="9"/>
  <c r="AA53" i="10" l="1"/>
  <c r="Z53" i="10"/>
  <c r="M54" i="10"/>
  <c r="N54" i="10" s="1"/>
  <c r="AJ61" i="10"/>
  <c r="B62" i="10"/>
  <c r="E27" i="11"/>
  <c r="O33" i="9"/>
  <c r="N33" i="9"/>
  <c r="F27" i="11" s="1"/>
  <c r="L27" i="11" s="1"/>
  <c r="O54" i="10" l="1"/>
  <c r="P54" i="10"/>
  <c r="C62" i="10"/>
  <c r="D62" i="10" s="1"/>
  <c r="C34" i="9"/>
  <c r="O27" i="11"/>
  <c r="N27" i="11"/>
  <c r="S26" i="11"/>
  <c r="AB53" i="10"/>
  <c r="F62" i="10" l="1"/>
  <c r="E62" i="10"/>
  <c r="I62" i="10"/>
  <c r="AN62" i="10" s="1"/>
  <c r="D34" i="9"/>
  <c r="E34" i="9" s="1"/>
  <c r="P27" i="11"/>
  <c r="U26" i="11"/>
  <c r="AC53" i="10"/>
  <c r="Q54" i="10"/>
  <c r="F34" i="9" l="1"/>
  <c r="P34" i="9" s="1"/>
  <c r="J34" i="9"/>
  <c r="G34" i="9"/>
  <c r="K34" i="9" s="1"/>
  <c r="R54" i="10"/>
  <c r="G62" i="10"/>
  <c r="H62" i="10" s="1"/>
  <c r="AD53" i="10"/>
  <c r="H34" i="9" l="1"/>
  <c r="C28" i="11"/>
  <c r="AJ62" i="10"/>
  <c r="B63" i="10"/>
  <c r="T54" i="10"/>
  <c r="AO54" i="10" s="1"/>
  <c r="S54" i="10"/>
  <c r="AE53" i="10"/>
  <c r="AP53" i="10" s="1"/>
  <c r="AG53" i="10"/>
  <c r="AF53" i="10"/>
  <c r="L34" i="9" l="1"/>
  <c r="M34" i="9" s="1"/>
  <c r="C63" i="10"/>
  <c r="D63" i="10"/>
  <c r="AK54" i="10"/>
  <c r="L55" i="10"/>
  <c r="W54" i="10"/>
  <c r="AL53" i="10"/>
  <c r="D28" i="11" l="1"/>
  <c r="Q34" i="9"/>
  <c r="N34" i="9"/>
  <c r="F28" i="11" s="1"/>
  <c r="L28" i="11" s="1"/>
  <c r="F63" i="10"/>
  <c r="I63" i="10" s="1"/>
  <c r="AN63" i="10" s="1"/>
  <c r="E63" i="10"/>
  <c r="M55" i="10"/>
  <c r="N55" i="10" s="1"/>
  <c r="X54" i="10"/>
  <c r="Y54" i="10" s="1"/>
  <c r="E28" i="11"/>
  <c r="O34" i="9"/>
  <c r="S27" i="11" l="1"/>
  <c r="N28" i="11"/>
  <c r="O55" i="10"/>
  <c r="P55" i="10"/>
  <c r="AA54" i="10"/>
  <c r="Z54" i="10"/>
  <c r="O28" i="11"/>
  <c r="C35" i="9"/>
  <c r="G63" i="10"/>
  <c r="H63" i="10" s="1"/>
  <c r="P28" i="11" l="1"/>
  <c r="U27" i="11"/>
  <c r="D35" i="9"/>
  <c r="E35" i="9" s="1"/>
  <c r="B64" i="10"/>
  <c r="AJ63" i="10"/>
  <c r="Q55" i="10"/>
  <c r="AB54" i="10"/>
  <c r="G35" i="9" l="1"/>
  <c r="K35" i="9" s="1"/>
  <c r="J35" i="9"/>
  <c r="F35" i="9"/>
  <c r="P35" i="9" s="1"/>
  <c r="C64" i="10"/>
  <c r="D64" i="10" s="1"/>
  <c r="R55" i="10"/>
  <c r="AC54" i="10"/>
  <c r="T55" i="10" l="1"/>
  <c r="AO55" i="10" s="1"/>
  <c r="S55" i="10"/>
  <c r="H35" i="9"/>
  <c r="C29" i="11"/>
  <c r="F64" i="10"/>
  <c r="I64" i="10"/>
  <c r="AN64" i="10" s="1"/>
  <c r="E64" i="10"/>
  <c r="AK55" i="10"/>
  <c r="L56" i="10"/>
  <c r="AD54" i="10"/>
  <c r="L35" i="9" l="1"/>
  <c r="M56" i="10"/>
  <c r="N56" i="10" s="1"/>
  <c r="G64" i="10"/>
  <c r="H64" i="10" s="1"/>
  <c r="AF54" i="10"/>
  <c r="AE54" i="10"/>
  <c r="AP54" i="10" s="1"/>
  <c r="AG54" i="10"/>
  <c r="D29" i="11" l="1"/>
  <c r="Q35" i="9"/>
  <c r="O56" i="10"/>
  <c r="P56" i="10"/>
  <c r="B65" i="10"/>
  <c r="AJ64" i="10"/>
  <c r="AL54" i="10"/>
  <c r="W55" i="10"/>
  <c r="M35" i="9"/>
  <c r="C65" i="10" l="1"/>
  <c r="D65" i="10" s="1"/>
  <c r="X55" i="10"/>
  <c r="Y55" i="10" s="1"/>
  <c r="Q56" i="10"/>
  <c r="R56" i="10" s="1"/>
  <c r="E29" i="11"/>
  <c r="O35" i="9"/>
  <c r="N35" i="9"/>
  <c r="F29" i="11" s="1"/>
  <c r="L29" i="11" s="1"/>
  <c r="S56" i="10" l="1"/>
  <c r="T56" i="10"/>
  <c r="AO56" i="10" s="1"/>
  <c r="E65" i="10"/>
  <c r="F65" i="10"/>
  <c r="AA55" i="10"/>
  <c r="Z55" i="10"/>
  <c r="L57" i="10"/>
  <c r="AK56" i="10"/>
  <c r="O29" i="11"/>
  <c r="C36" i="9"/>
  <c r="S28" i="11"/>
  <c r="N29" i="11"/>
  <c r="M57" i="10" l="1"/>
  <c r="N57" i="10" s="1"/>
  <c r="D36" i="9"/>
  <c r="E36" i="9" s="1"/>
  <c r="P29" i="11"/>
  <c r="U28" i="11"/>
  <c r="AB55" i="10"/>
  <c r="G65" i="10"/>
  <c r="H65" i="10" s="1"/>
  <c r="I65" i="10"/>
  <c r="AN65" i="10" s="1"/>
  <c r="P57" i="10" l="1"/>
  <c r="O57" i="10"/>
  <c r="G36" i="9"/>
  <c r="K36" i="9"/>
  <c r="F36" i="9"/>
  <c r="P36" i="9" s="1"/>
  <c r="J36" i="9"/>
  <c r="AC55" i="10"/>
  <c r="B66" i="10"/>
  <c r="AJ65" i="10"/>
  <c r="H36" i="9" l="1"/>
  <c r="C30" i="11"/>
  <c r="C66" i="10"/>
  <c r="D66" i="10" s="1"/>
  <c r="Q57" i="10"/>
  <c r="AD55" i="10"/>
  <c r="AG55" i="10" l="1"/>
  <c r="AF55" i="10"/>
  <c r="AE55" i="10"/>
  <c r="AP55" i="10" s="1"/>
  <c r="L36" i="9"/>
  <c r="E66" i="10"/>
  <c r="F66" i="10"/>
  <c r="R57" i="10"/>
  <c r="AL55" i="10" l="1"/>
  <c r="W56" i="10"/>
  <c r="D30" i="11"/>
  <c r="X56" i="10"/>
  <c r="Y56" i="10" s="1"/>
  <c r="M36" i="9"/>
  <c r="Q36" i="9" s="1"/>
  <c r="G66" i="10"/>
  <c r="H66" i="10" s="1"/>
  <c r="I66" i="10"/>
  <c r="AN66" i="10" s="1"/>
  <c r="T57" i="10"/>
  <c r="AO57" i="10" s="1"/>
  <c r="S57" i="10"/>
  <c r="Z56" i="10" l="1"/>
  <c r="AA56" i="10"/>
  <c r="AB56" i="10" s="1"/>
  <c r="AC56" i="10" s="1"/>
  <c r="B67" i="10"/>
  <c r="AJ66" i="10"/>
  <c r="L58" i="10"/>
  <c r="AK57" i="10"/>
  <c r="E30" i="11"/>
  <c r="O36" i="9"/>
  <c r="N36" i="9"/>
  <c r="F30" i="11" s="1"/>
  <c r="L30" i="11" s="1"/>
  <c r="C67" i="10" l="1"/>
  <c r="D67" i="10" s="1"/>
  <c r="M58" i="10"/>
  <c r="N58" i="10" s="1"/>
  <c r="C37" i="9"/>
  <c r="O30" i="11"/>
  <c r="N30" i="11"/>
  <c r="S29" i="11"/>
  <c r="AD56" i="10"/>
  <c r="AE56" i="10" s="1"/>
  <c r="AP56" i="10" s="1"/>
  <c r="E67" i="10" l="1"/>
  <c r="F67" i="10"/>
  <c r="O58" i="10"/>
  <c r="P58" i="10"/>
  <c r="D37" i="9"/>
  <c r="E37" i="9" s="1"/>
  <c r="P30" i="11"/>
  <c r="U29" i="11"/>
  <c r="AF56" i="10"/>
  <c r="AG56" i="10"/>
  <c r="J37" i="9" l="1"/>
  <c r="F37" i="9"/>
  <c r="P37" i="9" s="1"/>
  <c r="G37" i="9"/>
  <c r="K37" i="9" s="1"/>
  <c r="AL56" i="10"/>
  <c r="W57" i="10"/>
  <c r="G67" i="10"/>
  <c r="H67" i="10" s="1"/>
  <c r="I67" i="10"/>
  <c r="AN67" i="10" s="1"/>
  <c r="Q58" i="10"/>
  <c r="H37" i="9" l="1"/>
  <c r="C31" i="11"/>
  <c r="X57" i="10"/>
  <c r="Y57" i="10"/>
  <c r="B68" i="10"/>
  <c r="AJ67" i="10"/>
  <c r="R58" i="10"/>
  <c r="L37" i="9" l="1"/>
  <c r="M37" i="9" s="1"/>
  <c r="Z57" i="10"/>
  <c r="AA57" i="10"/>
  <c r="C68" i="10"/>
  <c r="D68" i="10"/>
  <c r="T58" i="10"/>
  <c r="AO58" i="10" s="1"/>
  <c r="S58" i="10"/>
  <c r="D31" i="11" l="1"/>
  <c r="Q37" i="9"/>
  <c r="N37" i="9"/>
  <c r="F31" i="11" s="1"/>
  <c r="L31" i="11" s="1"/>
  <c r="F68" i="10"/>
  <c r="E68" i="10"/>
  <c r="L59" i="10"/>
  <c r="AK58" i="10"/>
  <c r="O37" i="9"/>
  <c r="E31" i="11"/>
  <c r="AB57" i="10"/>
  <c r="AC57" i="10" s="1"/>
  <c r="AD57" i="10" s="1"/>
  <c r="N31" i="11" l="1"/>
  <c r="S30" i="11"/>
  <c r="M59" i="10"/>
  <c r="N59" i="10" s="1"/>
  <c r="C38" i="9"/>
  <c r="O31" i="11"/>
  <c r="AF57" i="10"/>
  <c r="G68" i="10"/>
  <c r="H68" i="10" s="1"/>
  <c r="I68" i="10"/>
  <c r="AN68" i="10" s="1"/>
  <c r="AG57" i="10"/>
  <c r="AE57" i="10"/>
  <c r="AP57" i="10" s="1"/>
  <c r="P31" i="11" l="1"/>
  <c r="U30" i="11"/>
  <c r="P59" i="10"/>
  <c r="O59" i="10"/>
  <c r="D38" i="9"/>
  <c r="E38" i="9" s="1"/>
  <c r="W58" i="10"/>
  <c r="AL57" i="10"/>
  <c r="B69" i="10"/>
  <c r="AJ68" i="10"/>
  <c r="J38" i="9" l="1"/>
  <c r="F38" i="9"/>
  <c r="P38" i="9" s="1"/>
  <c r="G38" i="9"/>
  <c r="K38" i="9" s="1"/>
  <c r="X58" i="10"/>
  <c r="Y58" i="10" s="1"/>
  <c r="C69" i="10"/>
  <c r="D69" i="10" s="1"/>
  <c r="Q59" i="10"/>
  <c r="H38" i="9" l="1"/>
  <c r="C32" i="11"/>
  <c r="AA58" i="10"/>
  <c r="Z58" i="10"/>
  <c r="F69" i="10"/>
  <c r="E69" i="10"/>
  <c r="I69" i="10"/>
  <c r="AN69" i="10" s="1"/>
  <c r="R59" i="10"/>
  <c r="L38" i="9" l="1"/>
  <c r="M38" i="9" s="1"/>
  <c r="G69" i="10"/>
  <c r="H69" i="10" s="1"/>
  <c r="AB58" i="10"/>
  <c r="T59" i="10"/>
  <c r="AO59" i="10" s="1"/>
  <c r="S59" i="10"/>
  <c r="D32" i="11" l="1"/>
  <c r="Q38" i="9"/>
  <c r="N38" i="9"/>
  <c r="F32" i="11" s="1"/>
  <c r="L32" i="11" s="1"/>
  <c r="AJ69" i="10"/>
  <c r="B70" i="10"/>
  <c r="AC58" i="10"/>
  <c r="AK59" i="10"/>
  <c r="L60" i="10"/>
  <c r="E32" i="11"/>
  <c r="O38" i="9"/>
  <c r="N32" i="11" l="1"/>
  <c r="S31" i="11"/>
  <c r="C70" i="10"/>
  <c r="D70" i="10" s="1"/>
  <c r="M60" i="10"/>
  <c r="N60" i="10" s="1"/>
  <c r="O32" i="11"/>
  <c r="C39" i="9"/>
  <c r="AD58" i="10"/>
  <c r="AE58" i="10" l="1"/>
  <c r="AP58" i="10" s="1"/>
  <c r="AG58" i="10"/>
  <c r="AF58" i="10"/>
  <c r="W59" i="10" s="1"/>
  <c r="P32" i="11"/>
  <c r="U31" i="11"/>
  <c r="F70" i="10"/>
  <c r="I70" i="10" s="1"/>
  <c r="AN70" i="10" s="1"/>
  <c r="E70" i="10"/>
  <c r="O60" i="10"/>
  <c r="P60" i="10"/>
  <c r="D39" i="9"/>
  <c r="E39" i="9" s="1"/>
  <c r="AL58" i="10"/>
  <c r="G39" i="9" l="1"/>
  <c r="J39" i="9"/>
  <c r="F39" i="9"/>
  <c r="P39" i="9" s="1"/>
  <c r="X59" i="10"/>
  <c r="Y59" i="10" s="1"/>
  <c r="G70" i="10"/>
  <c r="H70" i="10" s="1"/>
  <c r="Q60" i="10"/>
  <c r="R60" i="10" s="1"/>
  <c r="T60" i="10" l="1"/>
  <c r="AO60" i="10" s="1"/>
  <c r="S60" i="10"/>
  <c r="C33" i="11"/>
  <c r="H39" i="9"/>
  <c r="Z59" i="10"/>
  <c r="AA59" i="10"/>
  <c r="B71" i="10"/>
  <c r="AJ70" i="10"/>
  <c r="K39" i="9"/>
  <c r="L61" i="10" l="1"/>
  <c r="AK60" i="10"/>
  <c r="L39" i="9"/>
  <c r="M39" i="9" s="1"/>
  <c r="C71" i="10"/>
  <c r="D71" i="10" s="1"/>
  <c r="M61" i="10"/>
  <c r="N61" i="10" s="1"/>
  <c r="AB59" i="10"/>
  <c r="N39" i="9" l="1"/>
  <c r="F33" i="11" s="1"/>
  <c r="L33" i="11" s="1"/>
  <c r="D33" i="11"/>
  <c r="Q39" i="9"/>
  <c r="F71" i="10"/>
  <c r="I71" i="10" s="1"/>
  <c r="AN71" i="10" s="1"/>
  <c r="E71" i="10"/>
  <c r="O61" i="10"/>
  <c r="P61" i="10"/>
  <c r="Q61" i="10" s="1"/>
  <c r="R61" i="10" s="1"/>
  <c r="AC59" i="10"/>
  <c r="O39" i="9"/>
  <c r="E33" i="11"/>
  <c r="S32" i="11" l="1"/>
  <c r="N33" i="11"/>
  <c r="AD59" i="10"/>
  <c r="C40" i="9"/>
  <c r="O33" i="11"/>
  <c r="G71" i="10"/>
  <c r="H71" i="10" s="1"/>
  <c r="S61" i="10"/>
  <c r="T61" i="10"/>
  <c r="AO61" i="10" s="1"/>
  <c r="P33" i="11" l="1"/>
  <c r="U32" i="11"/>
  <c r="D40" i="9"/>
  <c r="E40" i="9" s="1"/>
  <c r="B72" i="10"/>
  <c r="AJ71" i="10"/>
  <c r="L62" i="10"/>
  <c r="AK61" i="10"/>
  <c r="AF59" i="10"/>
  <c r="AG59" i="10"/>
  <c r="AE59" i="10"/>
  <c r="AP59" i="10" s="1"/>
  <c r="G40" i="9" l="1"/>
  <c r="F40" i="9"/>
  <c r="P40" i="9" s="1"/>
  <c r="J40" i="9"/>
  <c r="C72" i="10"/>
  <c r="D72" i="10" s="1"/>
  <c r="M62" i="10"/>
  <c r="N62" i="10" s="1"/>
  <c r="AL59" i="10"/>
  <c r="W60" i="10"/>
  <c r="H40" i="9" l="1"/>
  <c r="C34" i="11"/>
  <c r="F72" i="10"/>
  <c r="E72" i="10"/>
  <c r="O62" i="10"/>
  <c r="P62" i="10"/>
  <c r="X60" i="10"/>
  <c r="Y60" i="10" s="1"/>
  <c r="K40" i="9"/>
  <c r="L40" i="9" l="1"/>
  <c r="AA60" i="10"/>
  <c r="Z60" i="10"/>
  <c r="G72" i="10"/>
  <c r="H72" i="10" s="1"/>
  <c r="I72" i="10"/>
  <c r="AN72" i="10" s="1"/>
  <c r="Q62" i="10"/>
  <c r="N40" i="9" l="1"/>
  <c r="F34" i="11" s="1"/>
  <c r="L34" i="11" s="1"/>
  <c r="D34" i="11"/>
  <c r="AJ72" i="10"/>
  <c r="B73" i="10"/>
  <c r="R62" i="10"/>
  <c r="M40" i="9"/>
  <c r="Q40" i="9" s="1"/>
  <c r="AB60" i="10"/>
  <c r="AC60" i="10" s="1"/>
  <c r="AD60" i="10" l="1"/>
  <c r="AF60" i="10" s="1"/>
  <c r="S33" i="11"/>
  <c r="N34" i="11"/>
  <c r="C73" i="10"/>
  <c r="D73" i="10" s="1"/>
  <c r="T62" i="10"/>
  <c r="AO62" i="10" s="1"/>
  <c r="S62" i="10"/>
  <c r="E34" i="11"/>
  <c r="O40" i="9"/>
  <c r="AG60" i="10" l="1"/>
  <c r="AE60" i="10"/>
  <c r="AP60" i="10" s="1"/>
  <c r="P34" i="11"/>
  <c r="U33" i="11"/>
  <c r="F73" i="10"/>
  <c r="E73" i="10"/>
  <c r="W61" i="10"/>
  <c r="AL60" i="10"/>
  <c r="L63" i="10"/>
  <c r="AK62" i="10"/>
  <c r="C41" i="9"/>
  <c r="O34" i="11"/>
  <c r="X61" i="10" l="1"/>
  <c r="Y61" i="10" s="1"/>
  <c r="M63" i="10"/>
  <c r="N63" i="10" s="1"/>
  <c r="D41" i="9"/>
  <c r="E41" i="9" s="1"/>
  <c r="G73" i="10"/>
  <c r="H73" i="10" s="1"/>
  <c r="I73" i="10"/>
  <c r="AN73" i="10" s="1"/>
  <c r="AA61" i="10" l="1"/>
  <c r="Z61" i="10"/>
  <c r="O63" i="10"/>
  <c r="P63" i="10"/>
  <c r="F41" i="9"/>
  <c r="P41" i="9" s="1"/>
  <c r="J41" i="9"/>
  <c r="G41" i="9"/>
  <c r="K41" i="9" s="1"/>
  <c r="AJ73" i="10"/>
  <c r="B74" i="10"/>
  <c r="C35" i="11" l="1"/>
  <c r="H41" i="9"/>
  <c r="C74" i="10"/>
  <c r="D74" i="10" s="1"/>
  <c r="AB61" i="10"/>
  <c r="Q63" i="10"/>
  <c r="L41" i="9" l="1"/>
  <c r="M41" i="9" s="1"/>
  <c r="F74" i="10"/>
  <c r="I74" i="10" s="1"/>
  <c r="AN74" i="10" s="1"/>
  <c r="E74" i="10"/>
  <c r="AC61" i="10"/>
  <c r="R63" i="10"/>
  <c r="O41" i="9" l="1"/>
  <c r="E35" i="11"/>
  <c r="O35" i="11"/>
  <c r="C42" i="9"/>
  <c r="D35" i="11"/>
  <c r="Q41" i="9"/>
  <c r="N41" i="9"/>
  <c r="F35" i="11" s="1"/>
  <c r="L35" i="11" s="1"/>
  <c r="AD61" i="10"/>
  <c r="AG61" i="10" s="1"/>
  <c r="G74" i="10"/>
  <c r="H74" i="10" s="1"/>
  <c r="T63" i="10"/>
  <c r="AO63" i="10" s="1"/>
  <c r="S63" i="10"/>
  <c r="D42" i="9" l="1"/>
  <c r="E42" i="9" s="1"/>
  <c r="N35" i="11"/>
  <c r="S34" i="11"/>
  <c r="B75" i="10"/>
  <c r="AJ74" i="10"/>
  <c r="AK63" i="10"/>
  <c r="L64" i="10"/>
  <c r="AF61" i="10"/>
  <c r="AE61" i="10"/>
  <c r="AP61" i="10" s="1"/>
  <c r="F42" i="9" l="1"/>
  <c r="P42" i="9" s="1"/>
  <c r="G42" i="9"/>
  <c r="K42" i="9" s="1"/>
  <c r="J42" i="9"/>
  <c r="P35" i="11"/>
  <c r="U34" i="11"/>
  <c r="C75" i="10"/>
  <c r="D75" i="10" s="1"/>
  <c r="M64" i="10"/>
  <c r="N64" i="10" s="1"/>
  <c r="W62" i="10"/>
  <c r="AL61" i="10"/>
  <c r="C36" i="11" l="1"/>
  <c r="H42" i="9"/>
  <c r="F75" i="10"/>
  <c r="I75" i="10" s="1"/>
  <c r="AN75" i="10" s="1"/>
  <c r="E75" i="10"/>
  <c r="O64" i="10"/>
  <c r="P64" i="10"/>
  <c r="Q64" i="10" s="1"/>
  <c r="R64" i="10" s="1"/>
  <c r="X62" i="10"/>
  <c r="Y62" i="10" s="1"/>
  <c r="L42" i="9" l="1"/>
  <c r="M42" i="9" s="1"/>
  <c r="AA62" i="10"/>
  <c r="Z62" i="10"/>
  <c r="G75" i="10"/>
  <c r="H75" i="10" s="1"/>
  <c r="T64" i="10"/>
  <c r="AO64" i="10" s="1"/>
  <c r="S64" i="10"/>
  <c r="O42" i="9" l="1"/>
  <c r="E36" i="11"/>
  <c r="D36" i="11"/>
  <c r="Q42" i="9"/>
  <c r="N42" i="9"/>
  <c r="F36" i="11" s="1"/>
  <c r="L36" i="11" s="1"/>
  <c r="O36" i="11"/>
  <c r="C43" i="9"/>
  <c r="B76" i="10"/>
  <c r="AJ75" i="10"/>
  <c r="AK64" i="10"/>
  <c r="L65" i="10"/>
  <c r="AB62" i="10"/>
  <c r="N36" i="11" l="1"/>
  <c r="S35" i="11"/>
  <c r="D43" i="9"/>
  <c r="E43" i="9" s="1"/>
  <c r="C76" i="10"/>
  <c r="D76" i="10" s="1"/>
  <c r="M65" i="10"/>
  <c r="N65" i="10" s="1"/>
  <c r="AC62" i="10"/>
  <c r="P36" i="11" l="1"/>
  <c r="U35" i="11"/>
  <c r="J43" i="9"/>
  <c r="F43" i="9"/>
  <c r="P43" i="9" s="1"/>
  <c r="G43" i="9"/>
  <c r="K43" i="9" s="1"/>
  <c r="F76" i="10"/>
  <c r="E76" i="10"/>
  <c r="O65" i="10"/>
  <c r="P65" i="10"/>
  <c r="AD62" i="10"/>
  <c r="C37" i="11" l="1"/>
  <c r="H43" i="9"/>
  <c r="G76" i="10"/>
  <c r="H76" i="10" s="1"/>
  <c r="I76" i="10"/>
  <c r="AN76" i="10" s="1"/>
  <c r="Q65" i="10"/>
  <c r="R65" i="10" s="1"/>
  <c r="AF62" i="10"/>
  <c r="AE62" i="10"/>
  <c r="AP62" i="10" s="1"/>
  <c r="AG62" i="10"/>
  <c r="L43" i="9" l="1"/>
  <c r="B77" i="10"/>
  <c r="AJ76" i="10"/>
  <c r="W63" i="10"/>
  <c r="AL62" i="10"/>
  <c r="S65" i="10"/>
  <c r="T65" i="10"/>
  <c r="AO65" i="10" s="1"/>
  <c r="D37" i="11" l="1"/>
  <c r="C77" i="10"/>
  <c r="D77" i="10" s="1"/>
  <c r="X63" i="10"/>
  <c r="Y63" i="10" s="1"/>
  <c r="L66" i="10"/>
  <c r="AK65" i="10"/>
  <c r="M43" i="9"/>
  <c r="F77" i="10" l="1"/>
  <c r="E77" i="10"/>
  <c r="AA63" i="10"/>
  <c r="Z63" i="10"/>
  <c r="M66" i="10"/>
  <c r="N66" i="10" s="1"/>
  <c r="E37" i="11"/>
  <c r="N43" i="9"/>
  <c r="F37" i="11" s="1"/>
  <c r="L37" i="11" s="1"/>
  <c r="Q43" i="9"/>
  <c r="O43" i="9"/>
  <c r="O66" i="10" l="1"/>
  <c r="P66" i="10"/>
  <c r="S36" i="11"/>
  <c r="N37" i="11"/>
  <c r="O37" i="11"/>
  <c r="C44" i="9"/>
  <c r="G77" i="10"/>
  <c r="H77" i="10" s="1"/>
  <c r="I77" i="10"/>
  <c r="AN77" i="10" s="1"/>
  <c r="AB63" i="10"/>
  <c r="AC63" i="10" s="1"/>
  <c r="AD63" i="10" l="1"/>
  <c r="P37" i="11"/>
  <c r="U36" i="11"/>
  <c r="D44" i="9"/>
  <c r="E44" i="9" s="1"/>
  <c r="AJ77" i="10"/>
  <c r="B78" i="10"/>
  <c r="Q66" i="10"/>
  <c r="AG63" i="10" l="1"/>
  <c r="AF63" i="10"/>
  <c r="AE63" i="10"/>
  <c r="AP63" i="10" s="1"/>
  <c r="G44" i="9"/>
  <c r="K44" i="9" s="1"/>
  <c r="F44" i="9"/>
  <c r="P44" i="9" s="1"/>
  <c r="J44" i="9"/>
  <c r="C78" i="10"/>
  <c r="D78" i="10" s="1"/>
  <c r="R66" i="10"/>
  <c r="AL63" i="10" l="1"/>
  <c r="W64" i="10"/>
  <c r="X64" i="10" s="1"/>
  <c r="Y64" i="10" s="1"/>
  <c r="C38" i="11"/>
  <c r="H44" i="9"/>
  <c r="F78" i="10"/>
  <c r="I78" i="10" s="1"/>
  <c r="AN78" i="10" s="1"/>
  <c r="E78" i="10"/>
  <c r="T66" i="10"/>
  <c r="AO66" i="10" s="1"/>
  <c r="S66" i="10"/>
  <c r="AA64" i="10" l="1"/>
  <c r="AB64" i="10" s="1"/>
  <c r="Z64" i="10"/>
  <c r="L44" i="9"/>
  <c r="AK66" i="10"/>
  <c r="L67" i="10"/>
  <c r="G78" i="10"/>
  <c r="H78" i="10" s="1"/>
  <c r="O44" i="9" l="1"/>
  <c r="M44" i="9"/>
  <c r="D38" i="11"/>
  <c r="Q44" i="9"/>
  <c r="M67" i="10"/>
  <c r="N67" i="10" s="1"/>
  <c r="B79" i="10"/>
  <c r="AJ78" i="10"/>
  <c r="AC64" i="10"/>
  <c r="E38" i="11" l="1"/>
  <c r="N44" i="9"/>
  <c r="F38" i="11" s="1"/>
  <c r="L38" i="11" s="1"/>
  <c r="O38" i="11"/>
  <c r="C45" i="9"/>
  <c r="D45" i="9" s="1"/>
  <c r="E45" i="9" s="1"/>
  <c r="O67" i="10"/>
  <c r="P67" i="10"/>
  <c r="Q67" i="10" s="1"/>
  <c r="R67" i="10" s="1"/>
  <c r="C79" i="10"/>
  <c r="D79" i="10" s="1"/>
  <c r="AD64" i="10"/>
  <c r="N38" i="11" l="1"/>
  <c r="S37" i="11"/>
  <c r="J45" i="9"/>
  <c r="F45" i="9"/>
  <c r="P45" i="9" s="1"/>
  <c r="G45" i="9"/>
  <c r="K45" i="9" s="1"/>
  <c r="P38" i="11"/>
  <c r="U37" i="11"/>
  <c r="F79" i="10"/>
  <c r="I79" i="10" s="1"/>
  <c r="AN79" i="10" s="1"/>
  <c r="E79" i="10"/>
  <c r="S67" i="10"/>
  <c r="T67" i="10"/>
  <c r="AO67" i="10" s="1"/>
  <c r="AF64" i="10"/>
  <c r="AE64" i="10"/>
  <c r="AP64" i="10" s="1"/>
  <c r="AG64" i="10"/>
  <c r="H45" i="9" l="1"/>
  <c r="C39" i="11"/>
  <c r="L68" i="10"/>
  <c r="AK67" i="10"/>
  <c r="AL64" i="10"/>
  <c r="W65" i="10"/>
  <c r="G79" i="10"/>
  <c r="H79" i="10" s="1"/>
  <c r="L45" i="9" l="1"/>
  <c r="M45" i="9" s="1"/>
  <c r="E39" i="11" s="1"/>
  <c r="M68" i="10"/>
  <c r="N68" i="10" s="1"/>
  <c r="X65" i="10"/>
  <c r="Y65" i="10" s="1"/>
  <c r="B80" i="10"/>
  <c r="AJ79" i="10"/>
  <c r="O45" i="9" l="1"/>
  <c r="D39" i="11"/>
  <c r="Q45" i="9"/>
  <c r="N45" i="9"/>
  <c r="F39" i="11" s="1"/>
  <c r="L39" i="11" s="1"/>
  <c r="P68" i="10"/>
  <c r="O68" i="10"/>
  <c r="AA65" i="10"/>
  <c r="Z65" i="10"/>
  <c r="C80" i="10"/>
  <c r="D80" i="10" s="1"/>
  <c r="C46" i="9" l="1"/>
  <c r="O39" i="11"/>
  <c r="N39" i="11"/>
  <c r="S38" i="11"/>
  <c r="D46" i="9"/>
  <c r="E46" i="9" s="1"/>
  <c r="F80" i="10"/>
  <c r="E80" i="10"/>
  <c r="Q68" i="10"/>
  <c r="AB65" i="10"/>
  <c r="P39" i="11" l="1"/>
  <c r="U38" i="11"/>
  <c r="J46" i="9"/>
  <c r="G46" i="9"/>
  <c r="F46" i="9"/>
  <c r="P46" i="9" s="1"/>
  <c r="R68" i="10"/>
  <c r="AC65" i="10"/>
  <c r="G80" i="10"/>
  <c r="H80" i="10" s="1"/>
  <c r="I80" i="10"/>
  <c r="AN80" i="10" s="1"/>
  <c r="T68" i="10" l="1"/>
  <c r="AO68" i="10" s="1"/>
  <c r="S68" i="10"/>
  <c r="C40" i="11"/>
  <c r="H46" i="9"/>
  <c r="AD65" i="10"/>
  <c r="AG65" i="10" s="1"/>
  <c r="B81" i="10"/>
  <c r="AJ80" i="10"/>
  <c r="K46" i="9"/>
  <c r="AK68" i="10" l="1"/>
  <c r="L69" i="10"/>
  <c r="M69" i="10" s="1"/>
  <c r="N69" i="10" s="1"/>
  <c r="L46" i="9"/>
  <c r="M46" i="9"/>
  <c r="E40" i="11" s="1"/>
  <c r="C81" i="10"/>
  <c r="D81" i="10" s="1"/>
  <c r="AF65" i="10"/>
  <c r="AE65" i="10"/>
  <c r="AP65" i="10" s="1"/>
  <c r="O46" i="9" l="1"/>
  <c r="N46" i="9"/>
  <c r="F40" i="11" s="1"/>
  <c r="L40" i="11" s="1"/>
  <c r="D40" i="11"/>
  <c r="Q46" i="9"/>
  <c r="O69" i="10"/>
  <c r="P69" i="10"/>
  <c r="F81" i="10"/>
  <c r="E81" i="10"/>
  <c r="W66" i="10"/>
  <c r="AL65" i="10"/>
  <c r="C47" i="9" l="1"/>
  <c r="O40" i="11"/>
  <c r="S39" i="11"/>
  <c r="N40" i="11"/>
  <c r="D47" i="9"/>
  <c r="E47" i="9" s="1"/>
  <c r="X66" i="10"/>
  <c r="Y66" i="10" s="1"/>
  <c r="Q69" i="10"/>
  <c r="G81" i="10"/>
  <c r="H81" i="10" s="1"/>
  <c r="I81" i="10"/>
  <c r="AN81" i="10" s="1"/>
  <c r="P40" i="11" l="1"/>
  <c r="U39" i="11"/>
  <c r="J47" i="9"/>
  <c r="G47" i="9"/>
  <c r="F47" i="9"/>
  <c r="P47" i="9" s="1"/>
  <c r="Z66" i="10"/>
  <c r="AA66" i="10"/>
  <c r="R69" i="10"/>
  <c r="B82" i="10"/>
  <c r="AJ81" i="10"/>
  <c r="C41" i="11" l="1"/>
  <c r="H47" i="9"/>
  <c r="C82" i="10"/>
  <c r="D82" i="10" s="1"/>
  <c r="K47" i="9"/>
  <c r="AB66" i="10"/>
  <c r="AC66" i="10" s="1"/>
  <c r="T69" i="10"/>
  <c r="AO69" i="10" s="1"/>
  <c r="S69" i="10"/>
  <c r="AD66" i="10" l="1"/>
  <c r="L47" i="9"/>
  <c r="F82" i="10"/>
  <c r="E82" i="10"/>
  <c r="L70" i="10"/>
  <c r="AK69" i="10"/>
  <c r="AG66" i="10" l="1"/>
  <c r="AF66" i="10"/>
  <c r="AE66" i="10"/>
  <c r="AP66" i="10" s="1"/>
  <c r="D41" i="11"/>
  <c r="M70" i="10"/>
  <c r="N70" i="10" s="1"/>
  <c r="M47" i="9"/>
  <c r="G82" i="10"/>
  <c r="H82" i="10" s="1"/>
  <c r="I82" i="10"/>
  <c r="AN82" i="10" s="1"/>
  <c r="AL66" i="10" l="1"/>
  <c r="W67" i="10"/>
  <c r="X67" i="10" s="1"/>
  <c r="Y67" i="10" s="1"/>
  <c r="N47" i="9"/>
  <c r="F41" i="11" s="1"/>
  <c r="L41" i="11" s="1"/>
  <c r="Q47" i="9"/>
  <c r="P70" i="10"/>
  <c r="O70" i="10"/>
  <c r="B83" i="10"/>
  <c r="AJ82" i="10"/>
  <c r="E41" i="11"/>
  <c r="O47" i="9"/>
  <c r="Z67" i="10" l="1"/>
  <c r="AA67" i="10"/>
  <c r="AB67" i="10" s="1"/>
  <c r="S40" i="11"/>
  <c r="N41" i="11"/>
  <c r="P41" i="11"/>
  <c r="U40" i="11"/>
  <c r="C83" i="10"/>
  <c r="D83" i="10" s="1"/>
  <c r="O41" i="11"/>
  <c r="C48" i="9"/>
  <c r="Q70" i="10"/>
  <c r="R70" i="10" s="1"/>
  <c r="T70" i="10" l="1"/>
  <c r="AO70" i="10" s="1"/>
  <c r="S70" i="10"/>
  <c r="I83" i="10"/>
  <c r="AN83" i="10" s="1"/>
  <c r="F83" i="10"/>
  <c r="E83" i="10"/>
  <c r="D48" i="9"/>
  <c r="E48" i="9" s="1"/>
  <c r="AC67" i="10"/>
  <c r="L71" i="10" l="1"/>
  <c r="M71" i="10" s="1"/>
  <c r="N71" i="10" s="1"/>
  <c r="AK70" i="10"/>
  <c r="J48" i="9"/>
  <c r="G48" i="9"/>
  <c r="K48" i="9" s="1"/>
  <c r="F48" i="9"/>
  <c r="P48" i="9" s="1"/>
  <c r="AD67" i="10"/>
  <c r="G83" i="10"/>
  <c r="H83" i="10" s="1"/>
  <c r="AF67" i="10" l="1"/>
  <c r="AG67" i="10"/>
  <c r="AE67" i="10"/>
  <c r="AP67" i="10" s="1"/>
  <c r="W68" i="10"/>
  <c r="AL67" i="10"/>
  <c r="C42" i="11"/>
  <c r="H48" i="9"/>
  <c r="X68" i="10"/>
  <c r="Y68" i="10" s="1"/>
  <c r="P71" i="10"/>
  <c r="O71" i="10"/>
  <c r="B84" i="10"/>
  <c r="AJ83" i="10"/>
  <c r="L48" i="9" l="1"/>
  <c r="AA68" i="10"/>
  <c r="Z68" i="10"/>
  <c r="C84" i="10"/>
  <c r="D84" i="10" s="1"/>
  <c r="Q71" i="10"/>
  <c r="D42" i="11" l="1"/>
  <c r="I84" i="10"/>
  <c r="AN84" i="10" s="1"/>
  <c r="F84" i="10"/>
  <c r="E84" i="10"/>
  <c r="R71" i="10"/>
  <c r="AB68" i="10"/>
  <c r="M48" i="9"/>
  <c r="O48" i="9" l="1"/>
  <c r="Q48" i="9"/>
  <c r="AC68" i="10"/>
  <c r="C49" i="9"/>
  <c r="O42" i="11"/>
  <c r="G84" i="10"/>
  <c r="H84" i="10" s="1"/>
  <c r="T71" i="10"/>
  <c r="AO71" i="10" s="1"/>
  <c r="S71" i="10"/>
  <c r="E42" i="11"/>
  <c r="N48" i="9"/>
  <c r="F42" i="11" s="1"/>
  <c r="L42" i="11" s="1"/>
  <c r="AD68" i="10" l="1"/>
  <c r="D49" i="9"/>
  <c r="E49" i="9" s="1"/>
  <c r="AJ84" i="10"/>
  <c r="B85" i="10"/>
  <c r="AK71" i="10"/>
  <c r="L72" i="10"/>
  <c r="S41" i="11"/>
  <c r="N42" i="11"/>
  <c r="J49" i="9" l="1"/>
  <c r="G49" i="9"/>
  <c r="F49" i="9"/>
  <c r="P49" i="9" s="1"/>
  <c r="C85" i="10"/>
  <c r="D85" i="10" s="1"/>
  <c r="M72" i="10"/>
  <c r="N72" i="10" s="1"/>
  <c r="P42" i="11"/>
  <c r="U41" i="11"/>
  <c r="AF68" i="10"/>
  <c r="AE68" i="10"/>
  <c r="AP68" i="10" s="1"/>
  <c r="AG68" i="10"/>
  <c r="C43" i="11" l="1"/>
  <c r="H49" i="9"/>
  <c r="I85" i="10"/>
  <c r="AN85" i="10" s="1"/>
  <c r="F85" i="10"/>
  <c r="E85" i="10"/>
  <c r="O72" i="10"/>
  <c r="P72" i="10"/>
  <c r="W69" i="10"/>
  <c r="AL68" i="10"/>
  <c r="K49" i="9"/>
  <c r="L49" i="9" l="1"/>
  <c r="X69" i="10"/>
  <c r="Y69" i="10" s="1"/>
  <c r="G85" i="10"/>
  <c r="H85" i="10" s="1"/>
  <c r="Q72" i="10"/>
  <c r="D43" i="11" l="1"/>
  <c r="AA69" i="10"/>
  <c r="Z69" i="10"/>
  <c r="AJ85" i="10"/>
  <c r="B86" i="10"/>
  <c r="R72" i="10"/>
  <c r="M49" i="9"/>
  <c r="N49" i="9" s="1"/>
  <c r="F43" i="11" s="1"/>
  <c r="L43" i="11" s="1"/>
  <c r="N43" i="11" l="1"/>
  <c r="S42" i="11"/>
  <c r="C86" i="10"/>
  <c r="D86" i="10" s="1"/>
  <c r="AB69" i="10"/>
  <c r="T72" i="10"/>
  <c r="AO72" i="10" s="1"/>
  <c r="S72" i="10"/>
  <c r="E43" i="11"/>
  <c r="O49" i="9"/>
  <c r="Q49" i="9"/>
  <c r="P43" i="11" l="1"/>
  <c r="U42" i="11"/>
  <c r="I86" i="10"/>
  <c r="AN86" i="10" s="1"/>
  <c r="F86" i="10"/>
  <c r="E86" i="10"/>
  <c r="AC69" i="10"/>
  <c r="AK72" i="10"/>
  <c r="L73" i="10"/>
  <c r="O43" i="11"/>
  <c r="C50" i="9"/>
  <c r="AD69" i="10" l="1"/>
  <c r="M73" i="10"/>
  <c r="N73" i="10" s="1"/>
  <c r="D50" i="9"/>
  <c r="E50" i="9" s="1"/>
  <c r="G86" i="10"/>
  <c r="H86" i="10" s="1"/>
  <c r="P73" i="10" l="1"/>
  <c r="O73" i="10"/>
  <c r="J50" i="9"/>
  <c r="G50" i="9"/>
  <c r="K50" i="9" s="1"/>
  <c r="F50" i="9"/>
  <c r="P50" i="9" s="1"/>
  <c r="AJ86" i="10"/>
  <c r="B87" i="10"/>
  <c r="AF69" i="10"/>
  <c r="AG69" i="10"/>
  <c r="AE69" i="10"/>
  <c r="AP69" i="10" s="1"/>
  <c r="C44" i="11" l="1"/>
  <c r="H50" i="9"/>
  <c r="C87" i="10"/>
  <c r="D87" i="10" s="1"/>
  <c r="W70" i="10"/>
  <c r="AL69" i="10"/>
  <c r="Q73" i="10"/>
  <c r="L50" i="9" l="1"/>
  <c r="I87" i="10"/>
  <c r="AN87" i="10" s="1"/>
  <c r="F87" i="10"/>
  <c r="G87" i="10" s="1"/>
  <c r="H87" i="10" s="1"/>
  <c r="E87" i="10"/>
  <c r="X70" i="10"/>
  <c r="Y70" i="10"/>
  <c r="R73" i="10"/>
  <c r="D44" i="11" l="1"/>
  <c r="Q50" i="9"/>
  <c r="B88" i="10"/>
  <c r="AJ87" i="10"/>
  <c r="Z70" i="10"/>
  <c r="AA70" i="10"/>
  <c r="M50" i="9"/>
  <c r="T73" i="10"/>
  <c r="AO73" i="10" s="1"/>
  <c r="S73" i="10"/>
  <c r="C88" i="10" l="1"/>
  <c r="D88" i="10" s="1"/>
  <c r="L74" i="10"/>
  <c r="AK73" i="10"/>
  <c r="AB70" i="10"/>
  <c r="E44" i="11"/>
  <c r="N50" i="9"/>
  <c r="F44" i="11" s="1"/>
  <c r="L44" i="11" s="1"/>
  <c r="O50" i="9"/>
  <c r="E88" i="10" l="1"/>
  <c r="I88" i="10"/>
  <c r="AN88" i="10" s="1"/>
  <c r="F88" i="10"/>
  <c r="G88" i="10" s="1"/>
  <c r="H88" i="10" s="1"/>
  <c r="M74" i="10"/>
  <c r="N74" i="10" s="1"/>
  <c r="AC70" i="10"/>
  <c r="N44" i="11"/>
  <c r="S43" i="11"/>
  <c r="C51" i="9"/>
  <c r="O44" i="11"/>
  <c r="B89" i="10" l="1"/>
  <c r="AJ88" i="10"/>
  <c r="P74" i="10"/>
  <c r="O74" i="10"/>
  <c r="AD70" i="10"/>
  <c r="P44" i="11"/>
  <c r="U43" i="11"/>
  <c r="D51" i="9"/>
  <c r="E51" i="9" s="1"/>
  <c r="C89" i="10" l="1"/>
  <c r="D89" i="10" s="1"/>
  <c r="J51" i="9"/>
  <c r="G51" i="9"/>
  <c r="F51" i="9"/>
  <c r="P51" i="9" s="1"/>
  <c r="Q74" i="10"/>
  <c r="AF70" i="10"/>
  <c r="AE70" i="10"/>
  <c r="AP70" i="10" s="1"/>
  <c r="AG70" i="10"/>
  <c r="I89" i="10" l="1"/>
  <c r="AN89" i="10" s="1"/>
  <c r="F89" i="10"/>
  <c r="G89" i="10" s="1"/>
  <c r="H89" i="10" s="1"/>
  <c r="E89" i="10"/>
  <c r="H51" i="9"/>
  <c r="C45" i="11"/>
  <c r="R74" i="10"/>
  <c r="W71" i="10"/>
  <c r="AL70" i="10"/>
  <c r="K51" i="9"/>
  <c r="AJ89" i="10" l="1"/>
  <c r="B90" i="10"/>
  <c r="L51" i="9"/>
  <c r="M51" i="9" s="1"/>
  <c r="X71" i="10"/>
  <c r="Y71" i="10" s="1"/>
  <c r="T74" i="10"/>
  <c r="AO74" i="10" s="1"/>
  <c r="S74" i="10"/>
  <c r="C90" i="10" l="1"/>
  <c r="D90" i="10" s="1"/>
  <c r="N51" i="9"/>
  <c r="F45" i="11" s="1"/>
  <c r="L45" i="11" s="1"/>
  <c r="D45" i="11"/>
  <c r="Q51" i="9"/>
  <c r="Z71" i="10"/>
  <c r="AA71" i="10"/>
  <c r="L75" i="10"/>
  <c r="AK74" i="10"/>
  <c r="O51" i="9"/>
  <c r="E45" i="11"/>
  <c r="I90" i="10" l="1"/>
  <c r="AN90" i="10" s="1"/>
  <c r="F90" i="10"/>
  <c r="E90" i="10"/>
  <c r="N45" i="11"/>
  <c r="S44" i="11"/>
  <c r="M75" i="10"/>
  <c r="N75" i="10" s="1"/>
  <c r="C52" i="9"/>
  <c r="O45" i="11"/>
  <c r="AB71" i="10"/>
  <c r="P45" i="11" l="1"/>
  <c r="U44" i="11"/>
  <c r="P75" i="10"/>
  <c r="O75" i="10"/>
  <c r="D52" i="9"/>
  <c r="E52" i="9"/>
  <c r="AC71" i="10"/>
  <c r="AD71" i="10"/>
  <c r="AF71" i="10" s="1"/>
  <c r="G90" i="10"/>
  <c r="H90" i="10" s="1"/>
  <c r="F52" i="9" l="1"/>
  <c r="P52" i="9" s="1"/>
  <c r="J52" i="9"/>
  <c r="G52" i="9"/>
  <c r="K52" i="9" s="1"/>
  <c r="AE71" i="10"/>
  <c r="AP71" i="10" s="1"/>
  <c r="AG71" i="10"/>
  <c r="AL71" i="10"/>
  <c r="W72" i="10"/>
  <c r="AJ90" i="10"/>
  <c r="B91" i="10"/>
  <c r="Q75" i="10"/>
  <c r="C46" i="11" l="1"/>
  <c r="H52" i="9"/>
  <c r="X72" i="10"/>
  <c r="Y72" i="10" s="1"/>
  <c r="C91" i="10"/>
  <c r="D91" i="10" s="1"/>
  <c r="R75" i="10"/>
  <c r="T75" i="10" l="1"/>
  <c r="AO75" i="10" s="1"/>
  <c r="S75" i="10"/>
  <c r="L52" i="9"/>
  <c r="M52" i="9" s="1"/>
  <c r="Z72" i="10"/>
  <c r="AA72" i="10"/>
  <c r="I91" i="10"/>
  <c r="AN91" i="10" s="1"/>
  <c r="F91" i="10"/>
  <c r="E91" i="10"/>
  <c r="AK75" i="10" l="1"/>
  <c r="L76" i="10"/>
  <c r="D46" i="11"/>
  <c r="Q52" i="9"/>
  <c r="N52" i="9"/>
  <c r="F46" i="11" s="1"/>
  <c r="L46" i="11" s="1"/>
  <c r="M76" i="10"/>
  <c r="N76" i="10" s="1"/>
  <c r="G91" i="10"/>
  <c r="H91" i="10" s="1"/>
  <c r="E46" i="11"/>
  <c r="O52" i="9"/>
  <c r="AB72" i="10"/>
  <c r="AC72" i="10" l="1"/>
  <c r="S45" i="11"/>
  <c r="N46" i="11"/>
  <c r="O76" i="10"/>
  <c r="P76" i="10"/>
  <c r="B92" i="10"/>
  <c r="AJ91" i="10"/>
  <c r="C53" i="9"/>
  <c r="O46" i="11"/>
  <c r="AD72" i="10" l="1"/>
  <c r="P46" i="11"/>
  <c r="U45" i="11"/>
  <c r="C92" i="10"/>
  <c r="D92" i="10" s="1"/>
  <c r="D53" i="9"/>
  <c r="E53" i="9" s="1"/>
  <c r="Q76" i="10"/>
  <c r="AE72" i="10" l="1"/>
  <c r="AP72" i="10" s="1"/>
  <c r="AF72" i="10"/>
  <c r="AG72" i="10"/>
  <c r="I92" i="10"/>
  <c r="AN92" i="10" s="1"/>
  <c r="E92" i="10"/>
  <c r="F92" i="10"/>
  <c r="G92" i="10" s="1"/>
  <c r="H92" i="10" s="1"/>
  <c r="J53" i="9"/>
  <c r="G53" i="9"/>
  <c r="K53" i="9" s="1"/>
  <c r="F53" i="9"/>
  <c r="P53" i="9" s="1"/>
  <c r="R76" i="10"/>
  <c r="W73" i="10" l="1"/>
  <c r="X73" i="10" s="1"/>
  <c r="Y73" i="10" s="1"/>
  <c r="AL72" i="10"/>
  <c r="AJ92" i="10"/>
  <c r="B93" i="10"/>
  <c r="C47" i="11"/>
  <c r="H53" i="9"/>
  <c r="T76" i="10"/>
  <c r="AO76" i="10" s="1"/>
  <c r="S76" i="10"/>
  <c r="Z73" i="10" l="1"/>
  <c r="AA73" i="10"/>
  <c r="AB73" i="10" s="1"/>
  <c r="AC73" i="10" s="1"/>
  <c r="AD73" i="10" s="1"/>
  <c r="C93" i="10"/>
  <c r="D93" i="10" s="1"/>
  <c r="L53" i="9"/>
  <c r="M53" i="9" s="1"/>
  <c r="L77" i="10"/>
  <c r="AK76" i="10"/>
  <c r="I93" i="10" l="1"/>
  <c r="AN93" i="10" s="1"/>
  <c r="F93" i="10"/>
  <c r="G93" i="10" s="1"/>
  <c r="H93" i="10" s="1"/>
  <c r="E93" i="10"/>
  <c r="D47" i="11"/>
  <c r="Q53" i="9"/>
  <c r="N53" i="9"/>
  <c r="F47" i="11" s="1"/>
  <c r="L47" i="11" s="1"/>
  <c r="M77" i="10"/>
  <c r="N77" i="10" s="1"/>
  <c r="AF73" i="10"/>
  <c r="E47" i="11"/>
  <c r="O53" i="9"/>
  <c r="AG73" i="10"/>
  <c r="AE73" i="10"/>
  <c r="AP73" i="10" s="1"/>
  <c r="B94" i="10" l="1"/>
  <c r="AJ93" i="10"/>
  <c r="S46" i="11"/>
  <c r="N47" i="11"/>
  <c r="O77" i="10"/>
  <c r="P77" i="10"/>
  <c r="W74" i="10"/>
  <c r="AL73" i="10"/>
  <c r="C54" i="9"/>
  <c r="O47" i="11"/>
  <c r="C94" i="10" l="1"/>
  <c r="D94" i="10" s="1"/>
  <c r="P47" i="11"/>
  <c r="U46" i="11"/>
  <c r="X74" i="10"/>
  <c r="Y74" i="10"/>
  <c r="D54" i="9"/>
  <c r="E54" i="9" s="1"/>
  <c r="Q77" i="10"/>
  <c r="I94" i="10" l="1"/>
  <c r="AN94" i="10" s="1"/>
  <c r="F94" i="10"/>
  <c r="E94" i="10"/>
  <c r="AA74" i="10"/>
  <c r="Z74" i="10"/>
  <c r="J54" i="9"/>
  <c r="G54" i="9"/>
  <c r="K54" i="9" s="1"/>
  <c r="F54" i="9"/>
  <c r="P54" i="9" s="1"/>
  <c r="R77" i="10"/>
  <c r="T77" i="10" l="1"/>
  <c r="AO77" i="10" s="1"/>
  <c r="S77" i="10"/>
  <c r="C48" i="11"/>
  <c r="H54" i="9"/>
  <c r="G94" i="10"/>
  <c r="H94" i="10" s="1"/>
  <c r="AB74" i="10"/>
  <c r="L78" i="10" l="1"/>
  <c r="AK77" i="10"/>
  <c r="AC74" i="10"/>
  <c r="AD74" i="10" s="1"/>
  <c r="L54" i="9"/>
  <c r="M78" i="10"/>
  <c r="N78" i="10" s="1"/>
  <c r="AJ94" i="10"/>
  <c r="B95" i="10"/>
  <c r="AF74" i="10" l="1"/>
  <c r="AE74" i="10"/>
  <c r="AP74" i="10" s="1"/>
  <c r="AG74" i="10"/>
  <c r="D48" i="11"/>
  <c r="O78" i="10"/>
  <c r="P78" i="10"/>
  <c r="C95" i="10"/>
  <c r="D95" i="10" s="1"/>
  <c r="M54" i="9"/>
  <c r="AL74" i="10" l="1"/>
  <c r="W75" i="10"/>
  <c r="X75" i="10" s="1"/>
  <c r="Y75" i="10" s="1"/>
  <c r="I95" i="10"/>
  <c r="F95" i="10"/>
  <c r="E95" i="10"/>
  <c r="Q78" i="10"/>
  <c r="E48" i="11"/>
  <c r="N54" i="9"/>
  <c r="F48" i="11" s="1"/>
  <c r="L48" i="11" s="1"/>
  <c r="O54" i="9"/>
  <c r="Q54" i="9"/>
  <c r="Z75" i="10" l="1"/>
  <c r="AA75" i="10"/>
  <c r="AB75" i="10" s="1"/>
  <c r="R78" i="10"/>
  <c r="N48" i="11"/>
  <c r="S47" i="11"/>
  <c r="O48" i="11"/>
  <c r="C55" i="9"/>
  <c r="G95" i="10"/>
  <c r="H95" i="10" s="1"/>
  <c r="B96" i="10" s="1"/>
  <c r="AC75" i="10" l="1"/>
  <c r="AD75" i="10" s="1"/>
  <c r="P48" i="11"/>
  <c r="U47" i="11"/>
  <c r="D55" i="9"/>
  <c r="E55" i="9" s="1"/>
  <c r="C96" i="10"/>
  <c r="D96" i="10" s="1"/>
  <c r="T78" i="10"/>
  <c r="AO78" i="10" s="1"/>
  <c r="S78" i="10"/>
  <c r="AF75" i="10" l="1"/>
  <c r="AG75" i="10"/>
  <c r="AE75" i="10"/>
  <c r="AP75" i="10" s="1"/>
  <c r="J55" i="9"/>
  <c r="F55" i="9"/>
  <c r="P55" i="9" s="1"/>
  <c r="G55" i="9"/>
  <c r="K55" i="9" s="1"/>
  <c r="I96" i="10"/>
  <c r="F96" i="10"/>
  <c r="G96" i="10" s="1"/>
  <c r="H96" i="10" s="1"/>
  <c r="B97" i="10" s="1"/>
  <c r="E96" i="10"/>
  <c r="AK78" i="10"/>
  <c r="L79" i="10"/>
  <c r="AL75" i="10" l="1"/>
  <c r="W76" i="10"/>
  <c r="X76" i="10" s="1"/>
  <c r="Y76" i="10" s="1"/>
  <c r="H55" i="9"/>
  <c r="C49" i="11"/>
  <c r="C97" i="10"/>
  <c r="D97" i="10"/>
  <c r="M79" i="10"/>
  <c r="N79" i="10" s="1"/>
  <c r="Z76" i="10" l="1"/>
  <c r="AA76" i="10"/>
  <c r="AB76" i="10" s="1"/>
  <c r="AC76" i="10" s="1"/>
  <c r="L55" i="9"/>
  <c r="M55" i="9" s="1"/>
  <c r="E49" i="11" s="1"/>
  <c r="I97" i="10"/>
  <c r="F97" i="10"/>
  <c r="E97" i="10"/>
  <c r="O79" i="10"/>
  <c r="P79" i="10"/>
  <c r="Q79" i="10" s="1"/>
  <c r="R79" i="10" s="1"/>
  <c r="O55" i="9" l="1"/>
  <c r="AD76" i="10"/>
  <c r="D49" i="11"/>
  <c r="Q55" i="9"/>
  <c r="N55" i="9"/>
  <c r="F49" i="11" s="1"/>
  <c r="L49" i="11" s="1"/>
  <c r="G97" i="10"/>
  <c r="H97" i="10" s="1"/>
  <c r="B98" i="10" s="1"/>
  <c r="S79" i="10"/>
  <c r="T79" i="10"/>
  <c r="AO79" i="10" s="1"/>
  <c r="C56" i="9" l="1"/>
  <c r="O49" i="11"/>
  <c r="AG76" i="10"/>
  <c r="AF76" i="10"/>
  <c r="AE76" i="10"/>
  <c r="AP76" i="10" s="1"/>
  <c r="S48" i="11"/>
  <c r="N49" i="11"/>
  <c r="C98" i="10"/>
  <c r="D98" i="10" s="1"/>
  <c r="L80" i="10"/>
  <c r="AK79" i="10"/>
  <c r="D56" i="9" l="1"/>
  <c r="E56" i="9" s="1"/>
  <c r="AL76" i="10"/>
  <c r="W77" i="10"/>
  <c r="X77" i="10" s="1"/>
  <c r="Y77" i="10" s="1"/>
  <c r="P49" i="11"/>
  <c r="U48" i="11"/>
  <c r="I98" i="10"/>
  <c r="E98" i="10"/>
  <c r="F98" i="10"/>
  <c r="G98" i="10" s="1"/>
  <c r="H98" i="10" s="1"/>
  <c r="B99" i="10" s="1"/>
  <c r="M80" i="10"/>
  <c r="N80" i="10" s="1"/>
  <c r="F56" i="9" l="1"/>
  <c r="P56" i="9" s="1"/>
  <c r="K56" i="9"/>
  <c r="G56" i="9"/>
  <c r="J56" i="9"/>
  <c r="AA77" i="10"/>
  <c r="Z77" i="10"/>
  <c r="AB77" i="10"/>
  <c r="H56" i="9"/>
  <c r="C50" i="11"/>
  <c r="C99" i="10"/>
  <c r="D99" i="10" s="1"/>
  <c r="O80" i="10"/>
  <c r="P80" i="10"/>
  <c r="AC77" i="10" l="1"/>
  <c r="M56" i="9"/>
  <c r="E50" i="11" s="1"/>
  <c r="L56" i="9"/>
  <c r="I99" i="10"/>
  <c r="E99" i="10"/>
  <c r="F99" i="10"/>
  <c r="G99" i="10" s="1"/>
  <c r="H99" i="10" s="1"/>
  <c r="B100" i="10" s="1"/>
  <c r="Q80" i="10"/>
  <c r="AD77" i="10" l="1"/>
  <c r="D50" i="11"/>
  <c r="Q56" i="9"/>
  <c r="O56" i="9"/>
  <c r="N56" i="9"/>
  <c r="F50" i="11" s="1"/>
  <c r="L50" i="11" s="1"/>
  <c r="C100" i="10"/>
  <c r="D100" i="10" s="1"/>
  <c r="R80" i="10"/>
  <c r="O50" i="11" l="1"/>
  <c r="C57" i="9"/>
  <c r="S49" i="11"/>
  <c r="N50" i="11"/>
  <c r="AF77" i="10"/>
  <c r="AE77" i="10"/>
  <c r="AP77" i="10" s="1"/>
  <c r="AG77" i="10"/>
  <c r="F100" i="10"/>
  <c r="I100" i="10"/>
  <c r="E100" i="10"/>
  <c r="T80" i="10"/>
  <c r="AO80" i="10" s="1"/>
  <c r="S80" i="10"/>
  <c r="D57" i="9" l="1"/>
  <c r="E57" i="9" s="1"/>
  <c r="U49" i="11"/>
  <c r="P50" i="11"/>
  <c r="W78" i="10"/>
  <c r="X78" i="10" s="1"/>
  <c r="Y78" i="10" s="1"/>
  <c r="AL77" i="10"/>
  <c r="AK80" i="10"/>
  <c r="L81" i="10"/>
  <c r="G100" i="10"/>
  <c r="H100" i="10" s="1"/>
  <c r="B101" i="10" s="1"/>
  <c r="J57" i="9" l="1"/>
  <c r="K57" i="9"/>
  <c r="G57" i="9"/>
  <c r="F57" i="9"/>
  <c r="P57" i="9" s="1"/>
  <c r="AA78" i="10"/>
  <c r="Z78" i="10"/>
  <c r="M81" i="10"/>
  <c r="N81" i="10" s="1"/>
  <c r="C101" i="10"/>
  <c r="D101" i="10" s="1"/>
  <c r="H57" i="9" l="1"/>
  <c r="C51" i="11"/>
  <c r="AB78" i="10"/>
  <c r="P81" i="10"/>
  <c r="O81" i="10"/>
  <c r="I101" i="10"/>
  <c r="E101" i="10"/>
  <c r="F101" i="10"/>
  <c r="G101" i="10" s="1"/>
  <c r="H101" i="10" s="1"/>
  <c r="B102" i="10" s="1"/>
  <c r="L57" i="9" l="1"/>
  <c r="M57" i="9"/>
  <c r="AC78" i="10"/>
  <c r="C102" i="10"/>
  <c r="D102" i="10" s="1"/>
  <c r="Q81" i="10"/>
  <c r="Q57" i="9" l="1"/>
  <c r="D51" i="11"/>
  <c r="N57" i="9"/>
  <c r="F51" i="11" s="1"/>
  <c r="L51" i="11" s="1"/>
  <c r="E51" i="11"/>
  <c r="O57" i="9"/>
  <c r="AD78" i="10"/>
  <c r="I102" i="10"/>
  <c r="E102" i="10"/>
  <c r="F102" i="10"/>
  <c r="G102" i="10" s="1"/>
  <c r="H102" i="10" s="1"/>
  <c r="B103" i="10" s="1"/>
  <c r="R81" i="10"/>
  <c r="N51" i="11" l="1"/>
  <c r="S50" i="11"/>
  <c r="O51" i="11"/>
  <c r="C58" i="9"/>
  <c r="D58" i="9" s="1"/>
  <c r="E58" i="9" s="1"/>
  <c r="AF78" i="10"/>
  <c r="AE78" i="10"/>
  <c r="AP78" i="10" s="1"/>
  <c r="AG78" i="10"/>
  <c r="C103" i="10"/>
  <c r="D103" i="10"/>
  <c r="T81" i="10"/>
  <c r="AO81" i="10" s="1"/>
  <c r="S81" i="10"/>
  <c r="U50" i="11" l="1"/>
  <c r="P51" i="11"/>
  <c r="J58" i="9"/>
  <c r="G58" i="9"/>
  <c r="F58" i="9"/>
  <c r="P58" i="9" s="1"/>
  <c r="AL78" i="10"/>
  <c r="W79" i="10"/>
  <c r="X79" i="10" s="1"/>
  <c r="Y79" i="10" s="1"/>
  <c r="F103" i="10"/>
  <c r="I103" i="10"/>
  <c r="E103" i="10"/>
  <c r="L82" i="10"/>
  <c r="AK81" i="10"/>
  <c r="C52" i="11" l="1"/>
  <c r="H58" i="9"/>
  <c r="AA79" i="10"/>
  <c r="Z79" i="10"/>
  <c r="K58" i="9"/>
  <c r="M82" i="10"/>
  <c r="N82" i="10" s="1"/>
  <c r="G103" i="10"/>
  <c r="H103" i="10" s="1"/>
  <c r="B104" i="10" s="1"/>
  <c r="L58" i="9" l="1"/>
  <c r="M58" i="9" s="1"/>
  <c r="AB79" i="10"/>
  <c r="AC79" i="10" s="1"/>
  <c r="O82" i="10"/>
  <c r="P82" i="10"/>
  <c r="Q82" i="10" s="1"/>
  <c r="R82" i="10" s="1"/>
  <c r="T82" i="10" s="1"/>
  <c r="AO82" i="10" s="1"/>
  <c r="C104" i="10"/>
  <c r="D104" i="10" s="1"/>
  <c r="N58" i="9" l="1"/>
  <c r="F52" i="11" s="1"/>
  <c r="L52" i="11" s="1"/>
  <c r="D52" i="11"/>
  <c r="Q58" i="9"/>
  <c r="S82" i="10"/>
  <c r="O58" i="9"/>
  <c r="E52" i="11"/>
  <c r="AD79" i="10"/>
  <c r="F104" i="10"/>
  <c r="I104" i="10"/>
  <c r="E104" i="10"/>
  <c r="S51" i="11" l="1"/>
  <c r="N52" i="11"/>
  <c r="C59" i="9"/>
  <c r="D59" i="9" s="1"/>
  <c r="E59" i="9" s="1"/>
  <c r="O52" i="11"/>
  <c r="AK82" i="10"/>
  <c r="L83" i="10"/>
  <c r="M83" i="10" s="1"/>
  <c r="N83" i="10" s="1"/>
  <c r="AF79" i="10"/>
  <c r="AG79" i="10"/>
  <c r="AE79" i="10"/>
  <c r="AP79" i="10" s="1"/>
  <c r="G104" i="10"/>
  <c r="H104" i="10" s="1"/>
  <c r="B105" i="10" s="1"/>
  <c r="P52" i="11" l="1"/>
  <c r="U51" i="11"/>
  <c r="G59" i="9"/>
  <c r="J59" i="9"/>
  <c r="F59" i="9"/>
  <c r="P59" i="9" s="1"/>
  <c r="W80" i="10"/>
  <c r="AL79" i="10"/>
  <c r="T83" i="10"/>
  <c r="AO83" i="10" s="1"/>
  <c r="O83" i="10"/>
  <c r="R83" i="10"/>
  <c r="P83" i="10"/>
  <c r="Q83" i="10" s="1"/>
  <c r="S83" i="10" s="1"/>
  <c r="C105" i="10"/>
  <c r="D105" i="10" s="1"/>
  <c r="C53" i="11" l="1"/>
  <c r="H59" i="9"/>
  <c r="X80" i="10"/>
  <c r="Y80" i="10" s="1"/>
  <c r="K59" i="9"/>
  <c r="AK83" i="10"/>
  <c r="L84" i="10"/>
  <c r="F105" i="10"/>
  <c r="G105" i="10" s="1"/>
  <c r="H105" i="10" s="1"/>
  <c r="B106" i="10" s="1"/>
  <c r="I105" i="10"/>
  <c r="E105" i="10"/>
  <c r="L59" i="9" l="1"/>
  <c r="M59" i="9" s="1"/>
  <c r="AA80" i="10"/>
  <c r="Z80" i="10"/>
  <c r="M84" i="10"/>
  <c r="N84" i="10" s="1"/>
  <c r="C106" i="10"/>
  <c r="D106" i="10" s="1"/>
  <c r="N59" i="9" l="1"/>
  <c r="F53" i="11" s="1"/>
  <c r="L53" i="11" s="1"/>
  <c r="D53" i="11"/>
  <c r="Q59" i="9"/>
  <c r="O59" i="9"/>
  <c r="E53" i="11"/>
  <c r="AB80" i="10"/>
  <c r="AC80" i="10" s="1"/>
  <c r="AD80" i="10"/>
  <c r="AE80" i="10" s="1"/>
  <c r="AP80" i="10" s="1"/>
  <c r="R84" i="10"/>
  <c r="P84" i="10"/>
  <c r="T84" i="10"/>
  <c r="AO84" i="10" s="1"/>
  <c r="O84" i="10"/>
  <c r="H106" i="10"/>
  <c r="B107" i="10" s="1"/>
  <c r="I106" i="10"/>
  <c r="E106" i="10"/>
  <c r="F106" i="10"/>
  <c r="G106" i="10" s="1"/>
  <c r="N53" i="11" l="1"/>
  <c r="S52" i="11"/>
  <c r="O53" i="11"/>
  <c r="C60" i="9"/>
  <c r="D60" i="9" s="1"/>
  <c r="E60" i="9" s="1"/>
  <c r="AF80" i="10"/>
  <c r="AG80" i="10"/>
  <c r="C107" i="10"/>
  <c r="D107" i="10"/>
  <c r="Q84" i="10"/>
  <c r="S84" i="10" s="1"/>
  <c r="P53" i="11" l="1"/>
  <c r="U52" i="11"/>
  <c r="G60" i="9"/>
  <c r="F60" i="9"/>
  <c r="P60" i="9" s="1"/>
  <c r="J60" i="9"/>
  <c r="W81" i="10"/>
  <c r="X81" i="10" s="1"/>
  <c r="Y81" i="10" s="1"/>
  <c r="AL80" i="10"/>
  <c r="F107" i="10"/>
  <c r="I107" i="10"/>
  <c r="E107" i="10"/>
  <c r="AK84" i="10"/>
  <c r="L85" i="10"/>
  <c r="H60" i="9" l="1"/>
  <c r="C54" i="11"/>
  <c r="Z81" i="10"/>
  <c r="AA81" i="10"/>
  <c r="K60" i="9"/>
  <c r="M85" i="10"/>
  <c r="N85" i="10" s="1"/>
  <c r="G107" i="10"/>
  <c r="H107" i="10" s="1"/>
  <c r="B108" i="10" s="1"/>
  <c r="L60" i="9" l="1"/>
  <c r="AB81" i="10"/>
  <c r="R85" i="10"/>
  <c r="P85" i="10"/>
  <c r="T85" i="10"/>
  <c r="AO85" i="10" s="1"/>
  <c r="O85" i="10"/>
  <c r="C108" i="10"/>
  <c r="D108" i="10" s="1"/>
  <c r="D54" i="11" l="1"/>
  <c r="AC81" i="10"/>
  <c r="M60" i="9"/>
  <c r="F108" i="10"/>
  <c r="E108" i="10"/>
  <c r="I108" i="10"/>
  <c r="Q85" i="10"/>
  <c r="S85" i="10" s="1"/>
  <c r="AD81" i="10" l="1"/>
  <c r="E54" i="11"/>
  <c r="Q60" i="9"/>
  <c r="O60" i="9"/>
  <c r="N60" i="9"/>
  <c r="F54" i="11" s="1"/>
  <c r="L54" i="11" s="1"/>
  <c r="L86" i="10"/>
  <c r="AK85" i="10"/>
  <c r="G108" i="10"/>
  <c r="H108" i="10" s="1"/>
  <c r="B109" i="10" s="1"/>
  <c r="AG81" i="10" l="1"/>
  <c r="AE81" i="10"/>
  <c r="AP81" i="10" s="1"/>
  <c r="AF81" i="10"/>
  <c r="AL81" i="10"/>
  <c r="W82" i="10"/>
  <c r="X82" i="10" s="1"/>
  <c r="Y82" i="10" s="1"/>
  <c r="C61" i="9"/>
  <c r="D61" i="9" s="1"/>
  <c r="E61" i="9" s="1"/>
  <c r="O54" i="11"/>
  <c r="S53" i="11"/>
  <c r="N54" i="11"/>
  <c r="M86" i="10"/>
  <c r="N86" i="10" s="1"/>
  <c r="C109" i="10"/>
  <c r="D109" i="10"/>
  <c r="AA82" i="10" l="1"/>
  <c r="Z82" i="10"/>
  <c r="J61" i="9"/>
  <c r="F61" i="9"/>
  <c r="P61" i="9" s="1"/>
  <c r="G61" i="9"/>
  <c r="K61" i="9" s="1"/>
  <c r="P54" i="11"/>
  <c r="U53" i="11"/>
  <c r="R86" i="10"/>
  <c r="P86" i="10"/>
  <c r="T86" i="10"/>
  <c r="AO86" i="10" s="1"/>
  <c r="O86" i="10"/>
  <c r="E109" i="10"/>
  <c r="F109" i="10"/>
  <c r="G109" i="10" s="1"/>
  <c r="H109" i="10" s="1"/>
  <c r="B110" i="10" s="1"/>
  <c r="I109" i="10"/>
  <c r="C55" i="11" l="1"/>
  <c r="H61" i="9"/>
  <c r="AB82" i="10"/>
  <c r="C110" i="10"/>
  <c r="D110" i="10"/>
  <c r="Q86" i="10"/>
  <c r="S86" i="10" s="1"/>
  <c r="L61" i="9" l="1"/>
  <c r="AC82" i="10"/>
  <c r="AD82" i="10"/>
  <c r="AF82" i="10"/>
  <c r="F110" i="10"/>
  <c r="I110" i="10"/>
  <c r="E110" i="10"/>
  <c r="AK86" i="10"/>
  <c r="L87" i="10"/>
  <c r="D55" i="11" l="1"/>
  <c r="AE82" i="10"/>
  <c r="AP82" i="10" s="1"/>
  <c r="AG82" i="10"/>
  <c r="AL82" i="10"/>
  <c r="W83" i="10"/>
  <c r="M61" i="9"/>
  <c r="O61" i="9"/>
  <c r="M87" i="10"/>
  <c r="N87" i="10" s="1"/>
  <c r="G110" i="10"/>
  <c r="H110" i="10" s="1"/>
  <c r="B111" i="10" s="1"/>
  <c r="X83" i="10" l="1"/>
  <c r="Y83" i="10" s="1"/>
  <c r="C62" i="9"/>
  <c r="O55" i="11"/>
  <c r="E55" i="11"/>
  <c r="Q61" i="9"/>
  <c r="N61" i="9"/>
  <c r="F55" i="11" s="1"/>
  <c r="L55" i="11" s="1"/>
  <c r="T87" i="10"/>
  <c r="AO87" i="10" s="1"/>
  <c r="R87" i="10"/>
  <c r="S87" i="10" s="1"/>
  <c r="O87" i="10"/>
  <c r="P87" i="10"/>
  <c r="Q87" i="10" s="1"/>
  <c r="C111" i="10"/>
  <c r="D111" i="10" s="1"/>
  <c r="Z83" i="10" l="1"/>
  <c r="AE83" i="10"/>
  <c r="AP83" i="10" s="1"/>
  <c r="AA83" i="10"/>
  <c r="AD83" i="10"/>
  <c r="AC83" i="10"/>
  <c r="D62" i="9"/>
  <c r="E62" i="9" s="1"/>
  <c r="S54" i="11"/>
  <c r="N55" i="11"/>
  <c r="AK87" i="10"/>
  <c r="L88" i="10"/>
  <c r="I111" i="10"/>
  <c r="E111" i="10"/>
  <c r="F111" i="10"/>
  <c r="G111" i="10" s="1"/>
  <c r="H111" i="10" s="1"/>
  <c r="B112" i="10" s="1"/>
  <c r="AB83" i="10" l="1"/>
  <c r="AF83" i="10" s="1"/>
  <c r="G62" i="9"/>
  <c r="K62" i="9" s="1"/>
  <c r="F62" i="9"/>
  <c r="P62" i="9" s="1"/>
  <c r="J62" i="9"/>
  <c r="P55" i="11"/>
  <c r="U54" i="11"/>
  <c r="AG83" i="10"/>
  <c r="M88" i="10"/>
  <c r="N88" i="10" s="1"/>
  <c r="C112" i="10"/>
  <c r="D112" i="10" s="1"/>
  <c r="C56" i="11" l="1"/>
  <c r="H62" i="9"/>
  <c r="AL83" i="10"/>
  <c r="W84" i="10"/>
  <c r="T88" i="10"/>
  <c r="AO88" i="10" s="1"/>
  <c r="P88" i="10"/>
  <c r="R88" i="10"/>
  <c r="O88" i="10"/>
  <c r="I112" i="10"/>
  <c r="F112" i="10"/>
  <c r="E112" i="10"/>
  <c r="L62" i="9" l="1"/>
  <c r="M62" i="9"/>
  <c r="X84" i="10"/>
  <c r="Y84" i="10" s="1"/>
  <c r="G112" i="10"/>
  <c r="H112" i="10" s="1"/>
  <c r="B113" i="10" s="1"/>
  <c r="Q88" i="10"/>
  <c r="S88" i="10" s="1"/>
  <c r="E56" i="11" l="1"/>
  <c r="O62" i="9"/>
  <c r="O56" i="11" s="1"/>
  <c r="D56" i="11"/>
  <c r="Q62" i="9"/>
  <c r="N62" i="9"/>
  <c r="F56" i="11" s="1"/>
  <c r="L56" i="11" s="1"/>
  <c r="C63" i="9"/>
  <c r="D63" i="9" s="1"/>
  <c r="E63" i="9" s="1"/>
  <c r="AE84" i="10"/>
  <c r="AP84" i="10" s="1"/>
  <c r="AC84" i="10"/>
  <c r="AD84" i="10"/>
  <c r="AA84" i="10"/>
  <c r="Z84" i="10"/>
  <c r="C113" i="10"/>
  <c r="D113" i="10"/>
  <c r="L89" i="10"/>
  <c r="AK88" i="10"/>
  <c r="AB84" i="10" l="1"/>
  <c r="AF84" i="10" s="1"/>
  <c r="N56" i="11"/>
  <c r="S55" i="11"/>
  <c r="J63" i="9"/>
  <c r="G63" i="9"/>
  <c r="F63" i="9"/>
  <c r="P63" i="9" s="1"/>
  <c r="AL84" i="10"/>
  <c r="W85" i="10"/>
  <c r="X85" i="10" s="1"/>
  <c r="Y85" i="10" s="1"/>
  <c r="AG84" i="10"/>
  <c r="I113" i="10"/>
  <c r="E113" i="10"/>
  <c r="F113" i="10"/>
  <c r="M89" i="10"/>
  <c r="N89" i="10" s="1"/>
  <c r="P56" i="11" l="1"/>
  <c r="U55" i="11"/>
  <c r="C57" i="11"/>
  <c r="H63" i="9"/>
  <c r="AD85" i="10"/>
  <c r="AE85" i="10"/>
  <c r="AP85" i="10" s="1"/>
  <c r="AA85" i="10"/>
  <c r="Z85" i="10"/>
  <c r="AC85" i="10"/>
  <c r="AG85" i="10" s="1"/>
  <c r="K63" i="9"/>
  <c r="P89" i="10"/>
  <c r="R89" i="10"/>
  <c r="T89" i="10"/>
  <c r="AO89" i="10" s="1"/>
  <c r="O89" i="10"/>
  <c r="G113" i="10"/>
  <c r="H113" i="10" s="1"/>
  <c r="B114" i="10" s="1"/>
  <c r="L63" i="9" l="1"/>
  <c r="M63" i="9"/>
  <c r="AB85" i="10"/>
  <c r="AF85" i="10" s="1"/>
  <c r="C114" i="10"/>
  <c r="D114" i="10" s="1"/>
  <c r="Q89" i="10"/>
  <c r="S89" i="10" s="1"/>
  <c r="N63" i="9" l="1"/>
  <c r="F57" i="11" s="1"/>
  <c r="L57" i="11" s="1"/>
  <c r="D57" i="11"/>
  <c r="Q63" i="9"/>
  <c r="AL85" i="10"/>
  <c r="W86" i="10"/>
  <c r="E57" i="11"/>
  <c r="O63" i="9"/>
  <c r="I114" i="10"/>
  <c r="E114" i="10"/>
  <c r="F114" i="10"/>
  <c r="G114" i="10" s="1"/>
  <c r="H114" i="10" s="1"/>
  <c r="B115" i="10" s="1"/>
  <c r="L90" i="10"/>
  <c r="AK89" i="10"/>
  <c r="S56" i="11" l="1"/>
  <c r="N57" i="11"/>
  <c r="X86" i="10"/>
  <c r="Y86" i="10" s="1"/>
  <c r="C64" i="9"/>
  <c r="O57" i="11"/>
  <c r="C115" i="10"/>
  <c r="D115" i="10" s="1"/>
  <c r="M90" i="10"/>
  <c r="N90" i="10" s="1"/>
  <c r="P57" i="11" l="1"/>
  <c r="U56" i="11"/>
  <c r="AD86" i="10"/>
  <c r="Z86" i="10"/>
  <c r="AE86" i="10"/>
  <c r="AP86" i="10" s="1"/>
  <c r="AC86" i="10"/>
  <c r="AA86" i="10"/>
  <c r="D64" i="9"/>
  <c r="E64" i="9" s="1"/>
  <c r="I115" i="10"/>
  <c r="E115" i="10"/>
  <c r="F115" i="10"/>
  <c r="G115" i="10" s="1"/>
  <c r="H115" i="10"/>
  <c r="B116" i="10" s="1"/>
  <c r="R90" i="10"/>
  <c r="P90" i="10"/>
  <c r="T90" i="10"/>
  <c r="AO90" i="10" s="1"/>
  <c r="O90" i="10"/>
  <c r="AG86" i="10" l="1"/>
  <c r="G64" i="9"/>
  <c r="K64" i="9" s="1"/>
  <c r="F64" i="9"/>
  <c r="P64" i="9" s="1"/>
  <c r="J64" i="9"/>
  <c r="AB86" i="10"/>
  <c r="AF86" i="10" s="1"/>
  <c r="C116" i="10"/>
  <c r="D116" i="10" s="1"/>
  <c r="Q90" i="10"/>
  <c r="S90" i="10" s="1"/>
  <c r="H64" i="9" l="1"/>
  <c r="C58" i="11"/>
  <c r="AL86" i="10"/>
  <c r="W87" i="10"/>
  <c r="X87" i="10" s="1"/>
  <c r="Y87" i="10" s="1"/>
  <c r="F116" i="10"/>
  <c r="E116" i="10"/>
  <c r="I116" i="10"/>
  <c r="L91" i="10"/>
  <c r="AK90" i="10"/>
  <c r="L64" i="9" l="1"/>
  <c r="M64" i="9" s="1"/>
  <c r="AA87" i="10"/>
  <c r="AD87" i="10"/>
  <c r="AE87" i="10"/>
  <c r="AP87" i="10" s="1"/>
  <c r="Z87" i="10"/>
  <c r="AC87" i="10"/>
  <c r="M91" i="10"/>
  <c r="N91" i="10" s="1"/>
  <c r="G116" i="10"/>
  <c r="H116" i="10" s="1"/>
  <c r="B117" i="10" s="1"/>
  <c r="AG87" i="10" l="1"/>
  <c r="D58" i="11"/>
  <c r="Q64" i="9"/>
  <c r="N64" i="9"/>
  <c r="F58" i="11" s="1"/>
  <c r="L58" i="11" s="1"/>
  <c r="AB87" i="10"/>
  <c r="AF87" i="10" s="1"/>
  <c r="O64" i="9"/>
  <c r="E58" i="11"/>
  <c r="O91" i="10"/>
  <c r="R91" i="10"/>
  <c r="T91" i="10"/>
  <c r="AO91" i="10" s="1"/>
  <c r="P91" i="10"/>
  <c r="C117" i="10"/>
  <c r="D117" i="10" s="1"/>
  <c r="Q91" i="10" l="1"/>
  <c r="S91" i="10" s="1"/>
  <c r="N58" i="11"/>
  <c r="S57" i="11"/>
  <c r="W88" i="10"/>
  <c r="AL87" i="10"/>
  <c r="C65" i="9"/>
  <c r="D65" i="9" s="1"/>
  <c r="E65" i="9" s="1"/>
  <c r="O58" i="11"/>
  <c r="L92" i="10"/>
  <c r="AK91" i="10"/>
  <c r="I117" i="10"/>
  <c r="E117" i="10"/>
  <c r="F117" i="10"/>
  <c r="G117" i="10" s="1"/>
  <c r="H117" i="10" s="1"/>
  <c r="B118" i="10" s="1"/>
  <c r="P58" i="11" l="1"/>
  <c r="U57" i="11"/>
  <c r="X88" i="10"/>
  <c r="Y88" i="10" s="1"/>
  <c r="K65" i="9"/>
  <c r="M65" i="9"/>
  <c r="E59" i="11" s="1"/>
  <c r="N65" i="9"/>
  <c r="F59" i="11" s="1"/>
  <c r="L59" i="11" s="1"/>
  <c r="F65" i="9"/>
  <c r="P65" i="9" s="1"/>
  <c r="G65" i="9"/>
  <c r="L65" i="9"/>
  <c r="J65" i="9"/>
  <c r="M92" i="10"/>
  <c r="N92" i="10" s="1"/>
  <c r="D118" i="10"/>
  <c r="C118" i="10"/>
  <c r="Z88" i="10" l="1"/>
  <c r="AD88" i="10"/>
  <c r="AE88" i="10"/>
  <c r="AP88" i="10" s="1"/>
  <c r="AC88" i="10"/>
  <c r="AA88" i="10"/>
  <c r="AB88" i="10" s="1"/>
  <c r="AF88" i="10" s="1"/>
  <c r="S58" i="11"/>
  <c r="N59" i="11"/>
  <c r="C59" i="11"/>
  <c r="H65" i="9"/>
  <c r="O65" i="9" s="1"/>
  <c r="Q65" i="9"/>
  <c r="D59" i="11"/>
  <c r="R92" i="10"/>
  <c r="P92" i="10"/>
  <c r="O92" i="10"/>
  <c r="T92" i="10"/>
  <c r="AO92" i="10" s="1"/>
  <c r="I118" i="10"/>
  <c r="F118" i="10"/>
  <c r="E118" i="10"/>
  <c r="AL88" i="10" l="1"/>
  <c r="W89" i="10"/>
  <c r="X89" i="10" s="1"/>
  <c r="Y89" i="10" s="1"/>
  <c r="P59" i="11"/>
  <c r="U58" i="11"/>
  <c r="O59" i="11"/>
  <c r="C66" i="9"/>
  <c r="D66" i="9" s="1"/>
  <c r="E66" i="9" s="1"/>
  <c r="AG88" i="10"/>
  <c r="Q92" i="10"/>
  <c r="S92" i="10" s="1"/>
  <c r="G118" i="10"/>
  <c r="H118" i="10" s="1"/>
  <c r="B119" i="10" s="1"/>
  <c r="AE89" i="10" l="1"/>
  <c r="AP89" i="10" s="1"/>
  <c r="AD89" i="10"/>
  <c r="AC89" i="10"/>
  <c r="AA89" i="10"/>
  <c r="Z89" i="10"/>
  <c r="J66" i="9"/>
  <c r="K66" i="9"/>
  <c r="M66" i="9"/>
  <c r="E60" i="11" s="1"/>
  <c r="F66" i="9"/>
  <c r="P66" i="9" s="1"/>
  <c r="N66" i="9"/>
  <c r="F60" i="11" s="1"/>
  <c r="L60" i="11" s="1"/>
  <c r="L66" i="9"/>
  <c r="G66" i="9"/>
  <c r="L93" i="10"/>
  <c r="AK92" i="10"/>
  <c r="C119" i="10"/>
  <c r="D119" i="10"/>
  <c r="AG89" i="10" l="1"/>
  <c r="S59" i="11"/>
  <c r="N60" i="11"/>
  <c r="Q66" i="9"/>
  <c r="D60" i="11"/>
  <c r="C60" i="11"/>
  <c r="H66" i="9"/>
  <c r="O66" i="9" s="1"/>
  <c r="AB89" i="10"/>
  <c r="AF89" i="10" s="1"/>
  <c r="M93" i="10"/>
  <c r="N93" i="10" s="1"/>
  <c r="F119" i="10"/>
  <c r="I119" i="10"/>
  <c r="E119" i="10"/>
  <c r="P60" i="11" l="1"/>
  <c r="U59" i="11"/>
  <c r="O60" i="11"/>
  <c r="C67" i="9"/>
  <c r="AL89" i="10"/>
  <c r="W90" i="10"/>
  <c r="R93" i="10"/>
  <c r="T93" i="10"/>
  <c r="AO93" i="10" s="1"/>
  <c r="P93" i="10"/>
  <c r="O93" i="10"/>
  <c r="G119" i="10"/>
  <c r="H119" i="10" s="1"/>
  <c r="B120" i="10" s="1"/>
  <c r="D67" i="9" l="1"/>
  <c r="E67" i="9" s="1"/>
  <c r="X90" i="10"/>
  <c r="Y90" i="10"/>
  <c r="C120" i="10"/>
  <c r="D120" i="10" s="1"/>
  <c r="Q93" i="10"/>
  <c r="S93" i="10" s="1"/>
  <c r="M67" i="9" l="1"/>
  <c r="E61" i="11" s="1"/>
  <c r="K67" i="9"/>
  <c r="J67" i="9"/>
  <c r="F67" i="9"/>
  <c r="P67" i="9" s="1"/>
  <c r="N67" i="9"/>
  <c r="F61" i="11" s="1"/>
  <c r="L61" i="11" s="1"/>
  <c r="G67" i="9"/>
  <c r="L67" i="9"/>
  <c r="AE90" i="10"/>
  <c r="AP90" i="10" s="1"/>
  <c r="Z90" i="10"/>
  <c r="AD90" i="10"/>
  <c r="AA90" i="10"/>
  <c r="AB90" i="10" s="1"/>
  <c r="AC90" i="10"/>
  <c r="F120" i="10"/>
  <c r="I120" i="10"/>
  <c r="E120" i="10"/>
  <c r="AK93" i="10"/>
  <c r="L94" i="10"/>
  <c r="AG90" i="10" l="1"/>
  <c r="N61" i="11"/>
  <c r="S60" i="11"/>
  <c r="H67" i="9"/>
  <c r="O67" i="9" s="1"/>
  <c r="C61" i="11"/>
  <c r="Q67" i="9"/>
  <c r="D61" i="11"/>
  <c r="AF90" i="10"/>
  <c r="M94" i="10"/>
  <c r="N94" i="10" s="1"/>
  <c r="G120" i="10"/>
  <c r="H120" i="10" s="1"/>
  <c r="B121" i="10" s="1"/>
  <c r="P61" i="11" l="1"/>
  <c r="U60" i="11"/>
  <c r="O61" i="11"/>
  <c r="C68" i="9"/>
  <c r="AL90" i="10"/>
  <c r="W91" i="10"/>
  <c r="X91" i="10" s="1"/>
  <c r="Y91" i="10" s="1"/>
  <c r="R94" i="10"/>
  <c r="O94" i="10"/>
  <c r="T94" i="10"/>
  <c r="AO94" i="10" s="1"/>
  <c r="P94" i="10"/>
  <c r="Q94" i="10" s="1"/>
  <c r="S94" i="10" s="1"/>
  <c r="C121" i="10"/>
  <c r="D121" i="10" s="1"/>
  <c r="D68" i="9" l="1"/>
  <c r="E68" i="9" s="1"/>
  <c r="AC91" i="10"/>
  <c r="AA91" i="10"/>
  <c r="AD91" i="10"/>
  <c r="AE91" i="10"/>
  <c r="AP91" i="10" s="1"/>
  <c r="Z91" i="10"/>
  <c r="L95" i="10"/>
  <c r="AK94" i="10"/>
  <c r="I121" i="10"/>
  <c r="E121" i="10"/>
  <c r="F121" i="10"/>
  <c r="G121" i="10" s="1"/>
  <c r="H121" i="10" s="1"/>
  <c r="B122" i="10" s="1"/>
  <c r="AB91" i="10" l="1"/>
  <c r="AF91" i="10" s="1"/>
  <c r="J68" i="9"/>
  <c r="F68" i="9"/>
  <c r="P68" i="9" s="1"/>
  <c r="G68" i="9"/>
  <c r="L68" i="9"/>
  <c r="N68" i="9"/>
  <c r="F62" i="11" s="1"/>
  <c r="L62" i="11" s="1"/>
  <c r="M68" i="9"/>
  <c r="E62" i="11" s="1"/>
  <c r="K68" i="9"/>
  <c r="AG91" i="10"/>
  <c r="M95" i="10"/>
  <c r="N95" i="10" s="1"/>
  <c r="C122" i="10"/>
  <c r="D122" i="10" s="1"/>
  <c r="W92" i="10" l="1"/>
  <c r="X92" i="10" s="1"/>
  <c r="Y92" i="10" s="1"/>
  <c r="AL91" i="10"/>
  <c r="C62" i="11"/>
  <c r="H68" i="9"/>
  <c r="O68" i="9" s="1"/>
  <c r="Q68" i="9"/>
  <c r="D62" i="11"/>
  <c r="S61" i="11"/>
  <c r="N62" i="11"/>
  <c r="P95" i="10"/>
  <c r="R95" i="10"/>
  <c r="O95" i="10"/>
  <c r="T95" i="10"/>
  <c r="E122" i="10"/>
  <c r="I122" i="10"/>
  <c r="F122" i="10"/>
  <c r="G122" i="10" s="1"/>
  <c r="H122" i="10" s="1"/>
  <c r="B123" i="10" s="1"/>
  <c r="AC92" i="10" l="1"/>
  <c r="AG92" i="10" s="1"/>
  <c r="AA92" i="10"/>
  <c r="AB92" i="10" s="1"/>
  <c r="AF92" i="10" s="1"/>
  <c r="Z92" i="10"/>
  <c r="AD92" i="10"/>
  <c r="AE92" i="10"/>
  <c r="AP92" i="10" s="1"/>
  <c r="O62" i="11"/>
  <c r="C69" i="9"/>
  <c r="P62" i="11"/>
  <c r="U61" i="11"/>
  <c r="Q95" i="10"/>
  <c r="S95" i="10" s="1"/>
  <c r="L96" i="10" s="1"/>
  <c r="M96" i="10"/>
  <c r="N96" i="10" s="1"/>
  <c r="C123" i="10"/>
  <c r="D123" i="10" s="1"/>
  <c r="D69" i="9" l="1"/>
  <c r="E69" i="9" s="1"/>
  <c r="W93" i="10"/>
  <c r="X93" i="10" s="1"/>
  <c r="Y93" i="10" s="1"/>
  <c r="AL92" i="10"/>
  <c r="P96" i="10"/>
  <c r="O96" i="10"/>
  <c r="R96" i="10"/>
  <c r="T96" i="10"/>
  <c r="E123" i="10"/>
  <c r="F123" i="10"/>
  <c r="G123" i="10" s="1"/>
  <c r="H123" i="10" s="1"/>
  <c r="B124" i="10" s="1"/>
  <c r="I123" i="10"/>
  <c r="M69" i="9" l="1"/>
  <c r="E63" i="11" s="1"/>
  <c r="N69" i="9"/>
  <c r="F63" i="11" s="1"/>
  <c r="L63" i="11" s="1"/>
  <c r="J69" i="9"/>
  <c r="L69" i="9"/>
  <c r="G69" i="9"/>
  <c r="K69" i="9"/>
  <c r="F69" i="9"/>
  <c r="P69" i="9" s="1"/>
  <c r="Z93" i="10"/>
  <c r="AC93" i="10"/>
  <c r="AE93" i="10"/>
  <c r="AP93" i="10" s="1"/>
  <c r="AA93" i="10"/>
  <c r="AB93" i="10" s="1"/>
  <c r="AD93" i="10"/>
  <c r="C124" i="10"/>
  <c r="D124" i="10" s="1"/>
  <c r="Q96" i="10"/>
  <c r="S96" i="10" s="1"/>
  <c r="L97" i="10" s="1"/>
  <c r="AF93" i="10" l="1"/>
  <c r="N63" i="11"/>
  <c r="S62" i="11"/>
  <c r="Q69" i="9"/>
  <c r="D63" i="11"/>
  <c r="C63" i="11"/>
  <c r="H69" i="9"/>
  <c r="O69" i="9" s="1"/>
  <c r="AG93" i="10"/>
  <c r="E124" i="10"/>
  <c r="F124" i="10"/>
  <c r="G124" i="10" s="1"/>
  <c r="H124" i="10" s="1"/>
  <c r="B125" i="10" s="1"/>
  <c r="I124" i="10"/>
  <c r="M97" i="10"/>
  <c r="N97" i="10" s="1"/>
  <c r="W94" i="10" l="1"/>
  <c r="X94" i="10" s="1"/>
  <c r="Y94" i="10" s="1"/>
  <c r="AL93" i="10"/>
  <c r="P63" i="11"/>
  <c r="U62" i="11"/>
  <c r="O63" i="11"/>
  <c r="C70" i="9"/>
  <c r="D70" i="9" s="1"/>
  <c r="E70" i="9" s="1"/>
  <c r="AC94" i="10"/>
  <c r="AA94" i="10"/>
  <c r="Z94" i="10"/>
  <c r="AD94" i="10"/>
  <c r="AE94" i="10"/>
  <c r="AP94" i="10" s="1"/>
  <c r="C125" i="10"/>
  <c r="D125" i="10" s="1"/>
  <c r="O97" i="10"/>
  <c r="P97" i="10"/>
  <c r="Q97" i="10" s="1"/>
  <c r="S97" i="10" s="1"/>
  <c r="L98" i="10" s="1"/>
  <c r="T97" i="10"/>
  <c r="R97" i="10"/>
  <c r="AB94" i="10" l="1"/>
  <c r="G70" i="9"/>
  <c r="J70" i="9"/>
  <c r="M70" i="9"/>
  <c r="E64" i="11" s="1"/>
  <c r="F70" i="9"/>
  <c r="P70" i="9" s="1"/>
  <c r="L70" i="9"/>
  <c r="K70" i="9"/>
  <c r="N70" i="9"/>
  <c r="F64" i="11" s="1"/>
  <c r="L64" i="11" s="1"/>
  <c r="AG94" i="10"/>
  <c r="AF94" i="10"/>
  <c r="I125" i="10"/>
  <c r="E125" i="10"/>
  <c r="F125" i="10"/>
  <c r="G125" i="10" s="1"/>
  <c r="H125" i="10" s="1"/>
  <c r="B126" i="10" s="1"/>
  <c r="M98" i="10"/>
  <c r="N98" i="10" s="1"/>
  <c r="C64" i="11" l="1"/>
  <c r="H70" i="9"/>
  <c r="O70" i="9" s="1"/>
  <c r="Q70" i="9"/>
  <c r="D64" i="11"/>
  <c r="N64" i="11"/>
  <c r="S63" i="11"/>
  <c r="W95" i="10"/>
  <c r="X95" i="10" s="1"/>
  <c r="Y95" i="10" s="1"/>
  <c r="AL94" i="10"/>
  <c r="C126" i="10"/>
  <c r="D126" i="10" s="1"/>
  <c r="T98" i="10"/>
  <c r="R98" i="10"/>
  <c r="O98" i="10"/>
  <c r="P98" i="10"/>
  <c r="Q98" i="10" s="1"/>
  <c r="S98" i="10" s="1"/>
  <c r="L99" i="10" s="1"/>
  <c r="O64" i="11" l="1"/>
  <c r="C71" i="9"/>
  <c r="D71" i="9" s="1"/>
  <c r="E71" i="9" s="1"/>
  <c r="P64" i="11"/>
  <c r="U63" i="11"/>
  <c r="AC95" i="10"/>
  <c r="AE95" i="10"/>
  <c r="AD95" i="10"/>
  <c r="Z95" i="10"/>
  <c r="AA95" i="10"/>
  <c r="AB95" i="10" s="1"/>
  <c r="F126" i="10"/>
  <c r="I126" i="10"/>
  <c r="E126" i="10"/>
  <c r="M99" i="10"/>
  <c r="N99" i="10" s="1"/>
  <c r="AF95" i="10" l="1"/>
  <c r="W96" i="10" s="1"/>
  <c r="X96" i="10" s="1"/>
  <c r="Y96" i="10" s="1"/>
  <c r="M71" i="9"/>
  <c r="E65" i="11" s="1"/>
  <c r="K71" i="9"/>
  <c r="F71" i="9"/>
  <c r="P71" i="9" s="1"/>
  <c r="J71" i="9"/>
  <c r="N71" i="9"/>
  <c r="F65" i="11" s="1"/>
  <c r="L65" i="11" s="1"/>
  <c r="G71" i="9"/>
  <c r="L71" i="9"/>
  <c r="AG95" i="10"/>
  <c r="R99" i="10"/>
  <c r="T99" i="10"/>
  <c r="O99" i="10"/>
  <c r="P99" i="10"/>
  <c r="Q99" i="10" s="1"/>
  <c r="G126" i="10"/>
  <c r="H126" i="10" s="1"/>
  <c r="B127" i="10" s="1"/>
  <c r="S99" i="10" l="1"/>
  <c r="L100" i="10" s="1"/>
  <c r="AE96" i="10"/>
  <c r="AD96" i="10"/>
  <c r="Z96" i="10"/>
  <c r="AA96" i="10"/>
  <c r="AB96" i="10" s="1"/>
  <c r="AC96" i="10"/>
  <c r="AG96" i="10" s="1"/>
  <c r="S64" i="11"/>
  <c r="N65" i="11"/>
  <c r="C65" i="11"/>
  <c r="H71" i="9"/>
  <c r="O71" i="9" s="1"/>
  <c r="Q71" i="9"/>
  <c r="D65" i="11"/>
  <c r="C127" i="10"/>
  <c r="D127" i="10"/>
  <c r="AF96" i="10" l="1"/>
  <c r="W97" i="10" s="1"/>
  <c r="X97" i="10" s="1"/>
  <c r="Y97" i="10" s="1"/>
  <c r="M100" i="10"/>
  <c r="N100" i="10" s="1"/>
  <c r="P65" i="11"/>
  <c r="U64" i="11"/>
  <c r="C72" i="9"/>
  <c r="D72" i="9" s="1"/>
  <c r="E72" i="9" s="1"/>
  <c r="O65" i="11"/>
  <c r="F127" i="10"/>
  <c r="I127" i="10"/>
  <c r="E127" i="10"/>
  <c r="Z97" i="10" l="1"/>
  <c r="AA97" i="10"/>
  <c r="AB97" i="10" s="1"/>
  <c r="AF97" i="10" s="1"/>
  <c r="W98" i="10" s="1"/>
  <c r="X98" i="10" s="1"/>
  <c r="Y98" i="10" s="1"/>
  <c r="AD97" i="10"/>
  <c r="AC97" i="10"/>
  <c r="AG97" i="10" s="1"/>
  <c r="AE97" i="10"/>
  <c r="P100" i="10"/>
  <c r="R100" i="10"/>
  <c r="T100" i="10"/>
  <c r="O100" i="10"/>
  <c r="J72" i="9"/>
  <c r="M72" i="9"/>
  <c r="E66" i="11" s="1"/>
  <c r="G72" i="9"/>
  <c r="K72" i="9"/>
  <c r="N72" i="9"/>
  <c r="F66" i="11" s="1"/>
  <c r="L66" i="11" s="1"/>
  <c r="L72" i="9"/>
  <c r="F72" i="9"/>
  <c r="P72" i="9" s="1"/>
  <c r="G127" i="10"/>
  <c r="H127" i="10" s="1"/>
  <c r="B128" i="10" s="1"/>
  <c r="Q100" i="10" l="1"/>
  <c r="S100" i="10" s="1"/>
  <c r="L101" i="10" s="1"/>
  <c r="AD98" i="10"/>
  <c r="Z98" i="10"/>
  <c r="AA98" i="10"/>
  <c r="AC98" i="10"/>
  <c r="AE98" i="10"/>
  <c r="C66" i="11"/>
  <c r="H72" i="9"/>
  <c r="O72" i="9" s="1"/>
  <c r="S65" i="11"/>
  <c r="N66" i="11"/>
  <c r="Q72" i="9"/>
  <c r="D66" i="11"/>
  <c r="C128" i="10"/>
  <c r="D128" i="10" s="1"/>
  <c r="M101" i="10" l="1"/>
  <c r="N101" i="10"/>
  <c r="AG98" i="10"/>
  <c r="AB98" i="10"/>
  <c r="AF98" i="10" s="1"/>
  <c r="W99" i="10" s="1"/>
  <c r="X99" i="10" s="1"/>
  <c r="Y99" i="10" s="1"/>
  <c r="O66" i="11"/>
  <c r="C73" i="9"/>
  <c r="P66" i="11"/>
  <c r="U65" i="11"/>
  <c r="F128" i="10"/>
  <c r="E128" i="10"/>
  <c r="I128" i="10"/>
  <c r="R101" i="10" l="1"/>
  <c r="T101" i="10"/>
  <c r="P101" i="10"/>
  <c r="O101" i="10"/>
  <c r="AD99" i="10"/>
  <c r="AA99" i="10"/>
  <c r="AB99" i="10" s="1"/>
  <c r="AF99" i="10" s="1"/>
  <c r="W100" i="10" s="1"/>
  <c r="X100" i="10" s="1"/>
  <c r="Y100" i="10" s="1"/>
  <c r="Z99" i="10"/>
  <c r="AC99" i="10"/>
  <c r="AG99" i="10" s="1"/>
  <c r="AE99" i="10"/>
  <c r="D73" i="9"/>
  <c r="E73" i="9" s="1"/>
  <c r="G128" i="10"/>
  <c r="H128" i="10" s="1"/>
  <c r="B129" i="10" s="1"/>
  <c r="Q101" i="10" l="1"/>
  <c r="S101" i="10" s="1"/>
  <c r="L102" i="10" s="1"/>
  <c r="AC100" i="10"/>
  <c r="Z100" i="10"/>
  <c r="AE100" i="10"/>
  <c r="AD100" i="10"/>
  <c r="AA100" i="10"/>
  <c r="AB100" i="10" s="1"/>
  <c r="AF100" i="10" s="1"/>
  <c r="W101" i="10" s="1"/>
  <c r="X101" i="10" s="1"/>
  <c r="Y101" i="10" s="1"/>
  <c r="N73" i="9"/>
  <c r="F67" i="11" s="1"/>
  <c r="L67" i="11" s="1"/>
  <c r="F73" i="9"/>
  <c r="P73" i="9" s="1"/>
  <c r="K73" i="9"/>
  <c r="L73" i="9"/>
  <c r="J73" i="9"/>
  <c r="G73" i="9"/>
  <c r="M73" i="9"/>
  <c r="E67" i="11" s="1"/>
  <c r="AD101" i="10"/>
  <c r="AG100" i="10"/>
  <c r="C129" i="10"/>
  <c r="D129" i="10"/>
  <c r="N102" i="10" l="1"/>
  <c r="M102" i="10"/>
  <c r="AC101" i="10"/>
  <c r="AG101" i="10" s="1"/>
  <c r="AE101" i="10"/>
  <c r="Z101" i="10"/>
  <c r="AA101" i="10"/>
  <c r="AB101" i="10" s="1"/>
  <c r="AF101" i="10" s="1"/>
  <c r="W102" i="10" s="1"/>
  <c r="X102" i="10" s="1"/>
  <c r="Y102" i="10" s="1"/>
  <c r="N67" i="11"/>
  <c r="S66" i="11"/>
  <c r="Q73" i="9"/>
  <c r="D67" i="11"/>
  <c r="H73" i="9"/>
  <c r="O73" i="9" s="1"/>
  <c r="C67" i="11"/>
  <c r="F129" i="10"/>
  <c r="E129" i="10"/>
  <c r="I129" i="10"/>
  <c r="R102" i="10" l="1"/>
  <c r="P102" i="10"/>
  <c r="O102" i="10"/>
  <c r="T102" i="10"/>
  <c r="AE102" i="10"/>
  <c r="Z102" i="10"/>
  <c r="AA102" i="10"/>
  <c r="AB102" i="10" s="1"/>
  <c r="AF102" i="10" s="1"/>
  <c r="W103" i="10" s="1"/>
  <c r="AC102" i="10"/>
  <c r="AD102" i="10"/>
  <c r="AG102" i="10" s="1"/>
  <c r="P67" i="11"/>
  <c r="U66" i="11"/>
  <c r="O67" i="11"/>
  <c r="C74" i="9"/>
  <c r="D74" i="9" s="1"/>
  <c r="E74" i="9" s="1"/>
  <c r="G129" i="10"/>
  <c r="H129" i="10" s="1"/>
  <c r="B130" i="10" s="1"/>
  <c r="Q102" i="10" l="1"/>
  <c r="S102" i="10" s="1"/>
  <c r="L103" i="10" s="1"/>
  <c r="M103" i="10" s="1"/>
  <c r="N103" i="10" s="1"/>
  <c r="N74" i="9"/>
  <c r="F68" i="11" s="1"/>
  <c r="L68" i="11" s="1"/>
  <c r="F74" i="9"/>
  <c r="P74" i="9" s="1"/>
  <c r="M74" i="9"/>
  <c r="E68" i="11" s="1"/>
  <c r="J74" i="9"/>
  <c r="L74" i="9"/>
  <c r="G74" i="9"/>
  <c r="K74" i="9"/>
  <c r="X103" i="10"/>
  <c r="Y103" i="10" s="1"/>
  <c r="C130" i="10"/>
  <c r="D130" i="10" s="1"/>
  <c r="R103" i="10" l="1"/>
  <c r="P103" i="10"/>
  <c r="Q103" i="10" s="1"/>
  <c r="T103" i="10"/>
  <c r="O103" i="10"/>
  <c r="S67" i="11"/>
  <c r="N68" i="11"/>
  <c r="Q74" i="9"/>
  <c r="D68" i="11"/>
  <c r="C68" i="11"/>
  <c r="H74" i="9"/>
  <c r="O74" i="9" s="1"/>
  <c r="AD103" i="10"/>
  <c r="AA103" i="10"/>
  <c r="AE103" i="10"/>
  <c r="AC103" i="10"/>
  <c r="AG103" i="10" s="1"/>
  <c r="Z103" i="10"/>
  <c r="I130" i="10"/>
  <c r="E130" i="10"/>
  <c r="F130" i="10"/>
  <c r="G130" i="10" s="1"/>
  <c r="H130" i="10" s="1"/>
  <c r="B131" i="10" s="1"/>
  <c r="S103" i="10" l="1"/>
  <c r="L104" i="10" s="1"/>
  <c r="M104" i="10" s="1"/>
  <c r="N104" i="10" s="1"/>
  <c r="P68" i="11"/>
  <c r="U67" i="11"/>
  <c r="O68" i="11"/>
  <c r="C75" i="9"/>
  <c r="AB103" i="10"/>
  <c r="AF103" i="10" s="1"/>
  <c r="W104" i="10" s="1"/>
  <c r="X104" i="10" s="1"/>
  <c r="Y104" i="10" s="1"/>
  <c r="C131" i="10"/>
  <c r="D131" i="10" s="1"/>
  <c r="T104" i="10" l="1"/>
  <c r="O104" i="10"/>
  <c r="R104" i="10"/>
  <c r="P104" i="10"/>
  <c r="D75" i="9"/>
  <c r="E75" i="9" s="1"/>
  <c r="Z104" i="10"/>
  <c r="AC104" i="10"/>
  <c r="AD104" i="10"/>
  <c r="AE104" i="10"/>
  <c r="AA104" i="10"/>
  <c r="I131" i="10"/>
  <c r="F131" i="10"/>
  <c r="E131" i="10"/>
  <c r="AG104" i="10"/>
  <c r="Q104" i="10" l="1"/>
  <c r="S104" i="10" s="1"/>
  <c r="L105" i="10" s="1"/>
  <c r="M105" i="10" s="1"/>
  <c r="N105" i="10" s="1"/>
  <c r="N75" i="9"/>
  <c r="F69" i="11" s="1"/>
  <c r="L69" i="11" s="1"/>
  <c r="M75" i="9"/>
  <c r="E69" i="11" s="1"/>
  <c r="L75" i="9"/>
  <c r="K75" i="9"/>
  <c r="J75" i="9"/>
  <c r="G75" i="9"/>
  <c r="F75" i="9"/>
  <c r="P75" i="9" s="1"/>
  <c r="AB104" i="10"/>
  <c r="AF104" i="10" s="1"/>
  <c r="W105" i="10" s="1"/>
  <c r="X105" i="10" s="1"/>
  <c r="Y105" i="10" s="1"/>
  <c r="G131" i="10"/>
  <c r="H131" i="10" s="1"/>
  <c r="B132" i="10" s="1"/>
  <c r="T105" i="10" l="1"/>
  <c r="R105" i="10"/>
  <c r="P105" i="10"/>
  <c r="Q105" i="10" s="1"/>
  <c r="S105" i="10" s="1"/>
  <c r="L106" i="10" s="1"/>
  <c r="O105" i="10"/>
  <c r="S68" i="11"/>
  <c r="N69" i="11"/>
  <c r="Q75" i="9"/>
  <c r="D69" i="11"/>
  <c r="H75" i="9"/>
  <c r="O75" i="9" s="1"/>
  <c r="C69" i="11"/>
  <c r="AD105" i="10"/>
  <c r="AE105" i="10"/>
  <c r="AC105" i="10"/>
  <c r="AA105" i="10"/>
  <c r="Z105" i="10"/>
  <c r="AB105" i="10" s="1"/>
  <c r="AF105" i="10" s="1"/>
  <c r="W106" i="10" s="1"/>
  <c r="C132" i="10"/>
  <c r="D132" i="10" s="1"/>
  <c r="P69" i="11" l="1"/>
  <c r="U68" i="11"/>
  <c r="O69" i="11"/>
  <c r="C76" i="9"/>
  <c r="AG105" i="10"/>
  <c r="E132" i="10"/>
  <c r="F132" i="10"/>
  <c r="G132" i="10" s="1"/>
  <c r="H132" i="10" s="1"/>
  <c r="B133" i="10" s="1"/>
  <c r="I132" i="10"/>
  <c r="X106" i="10"/>
  <c r="Y106" i="10" s="1"/>
  <c r="M106" i="10"/>
  <c r="N106" i="10" s="1"/>
  <c r="D76" i="9" l="1"/>
  <c r="E76" i="9" s="1"/>
  <c r="C133" i="10"/>
  <c r="D133" i="10" s="1"/>
  <c r="AC106" i="10"/>
  <c r="AE106" i="10"/>
  <c r="AA106" i="10"/>
  <c r="AD106" i="10"/>
  <c r="Z106" i="10"/>
  <c r="T106" i="10"/>
  <c r="R106" i="10"/>
  <c r="P106" i="10"/>
  <c r="O106" i="10"/>
  <c r="N76" i="9" l="1"/>
  <c r="F70" i="11" s="1"/>
  <c r="L70" i="11" s="1"/>
  <c r="K76" i="9"/>
  <c r="L76" i="9"/>
  <c r="G76" i="9"/>
  <c r="F76" i="9"/>
  <c r="P76" i="9" s="1"/>
  <c r="M76" i="9"/>
  <c r="E70" i="11" s="1"/>
  <c r="J76" i="9"/>
  <c r="Q106" i="10"/>
  <c r="S106" i="10" s="1"/>
  <c r="L107" i="10" s="1"/>
  <c r="M107" i="10" s="1"/>
  <c r="N107" i="10" s="1"/>
  <c r="H133" i="10"/>
  <c r="B134" i="10" s="1"/>
  <c r="E133" i="10"/>
  <c r="F133" i="10"/>
  <c r="G133" i="10" s="1"/>
  <c r="I133" i="10"/>
  <c r="AG106" i="10"/>
  <c r="AB106" i="10"/>
  <c r="AF106" i="10" s="1"/>
  <c r="W107" i="10" s="1"/>
  <c r="S69" i="11" l="1"/>
  <c r="N70" i="11"/>
  <c r="Q76" i="9"/>
  <c r="D70" i="11"/>
  <c r="C70" i="11"/>
  <c r="H76" i="9"/>
  <c r="O76" i="9" s="1"/>
  <c r="C134" i="10"/>
  <c r="D134" i="10"/>
  <c r="P107" i="10"/>
  <c r="T107" i="10"/>
  <c r="R107" i="10"/>
  <c r="O107" i="10"/>
  <c r="X107" i="10"/>
  <c r="Y107" i="10" s="1"/>
  <c r="P70" i="11" l="1"/>
  <c r="U69" i="11"/>
  <c r="O70" i="11"/>
  <c r="C77" i="9"/>
  <c r="D77" i="9" s="1"/>
  <c r="E77" i="9" s="1"/>
  <c r="E134" i="10"/>
  <c r="I134" i="10"/>
  <c r="F134" i="10"/>
  <c r="G134" i="10" s="1"/>
  <c r="H134" i="10"/>
  <c r="B135" i="10" s="1"/>
  <c r="AD107" i="10"/>
  <c r="Z107" i="10"/>
  <c r="AC107" i="10"/>
  <c r="AA107" i="10"/>
  <c r="AB107" i="10" s="1"/>
  <c r="AE107" i="10"/>
  <c r="Q107" i="10"/>
  <c r="S107" i="10" s="1"/>
  <c r="L108" i="10" s="1"/>
  <c r="AF107" i="10" l="1"/>
  <c r="W108" i="10" s="1"/>
  <c r="X108" i="10" s="1"/>
  <c r="Y108" i="10" s="1"/>
  <c r="K77" i="9"/>
  <c r="F77" i="9"/>
  <c r="P77" i="9" s="1"/>
  <c r="G77" i="9"/>
  <c r="M77" i="9"/>
  <c r="E71" i="11" s="1"/>
  <c r="N77" i="9"/>
  <c r="F71" i="11" s="1"/>
  <c r="L71" i="11" s="1"/>
  <c r="N71" i="11" s="1"/>
  <c r="P71" i="11" s="1"/>
  <c r="J77" i="9"/>
  <c r="L77" i="9"/>
  <c r="D135" i="10"/>
  <c r="C135" i="10"/>
  <c r="M108" i="10"/>
  <c r="N108" i="10" s="1"/>
  <c r="AG107" i="10"/>
  <c r="C71" i="11" l="1"/>
  <c r="H77" i="9"/>
  <c r="O77" i="9" s="1"/>
  <c r="Q77" i="9"/>
  <c r="D71" i="11"/>
  <c r="E135" i="10"/>
  <c r="F135" i="10"/>
  <c r="G135" i="10" s="1"/>
  <c r="H135" i="10" s="1"/>
  <c r="B136" i="10" s="1"/>
  <c r="I135" i="10"/>
  <c r="AA108" i="10"/>
  <c r="AC108" i="10"/>
  <c r="AD108" i="10"/>
  <c r="Z108" i="10"/>
  <c r="AE108" i="10"/>
  <c r="R108" i="10"/>
  <c r="T108" i="10"/>
  <c r="P108" i="10"/>
  <c r="O108" i="10"/>
  <c r="O71" i="11" l="1"/>
  <c r="C78" i="9"/>
  <c r="AB108" i="10"/>
  <c r="AF108" i="10" s="1"/>
  <c r="W109" i="10" s="1"/>
  <c r="Q108" i="10"/>
  <c r="S108" i="10" s="1"/>
  <c r="L109" i="10" s="1"/>
  <c r="M109" i="10" s="1"/>
  <c r="N109" i="10" s="1"/>
  <c r="C136" i="10"/>
  <c r="D136" i="10" s="1"/>
  <c r="AG108" i="10"/>
  <c r="D78" i="9" l="1"/>
  <c r="E78" i="9" s="1"/>
  <c r="X109" i="10"/>
  <c r="Y109" i="10" s="1"/>
  <c r="E136" i="10"/>
  <c r="I136" i="10"/>
  <c r="F136" i="10"/>
  <c r="G136" i="10" s="1"/>
  <c r="H136" i="10" s="1"/>
  <c r="B137" i="10" s="1"/>
  <c r="P109" i="10"/>
  <c r="O109" i="10"/>
  <c r="T109" i="10"/>
  <c r="R109" i="10"/>
  <c r="F78" i="9" l="1"/>
  <c r="P78" i="9" s="1"/>
  <c r="M78" i="9"/>
  <c r="E72" i="11" s="1"/>
  <c r="G78" i="9"/>
  <c r="J78" i="9"/>
  <c r="N78" i="9"/>
  <c r="F72" i="11" s="1"/>
  <c r="L72" i="11" s="1"/>
  <c r="N72" i="11" s="1"/>
  <c r="P72" i="11" s="1"/>
  <c r="L78" i="9"/>
  <c r="K78" i="9"/>
  <c r="Q109" i="10"/>
  <c r="S109" i="10" s="1"/>
  <c r="L110" i="10" s="1"/>
  <c r="M110" i="10" s="1"/>
  <c r="N110" i="10" s="1"/>
  <c r="Z109" i="10"/>
  <c r="AE109" i="10"/>
  <c r="AA109" i="10"/>
  <c r="AC109" i="10"/>
  <c r="AD109" i="10"/>
  <c r="C137" i="10"/>
  <c r="D137" i="10"/>
  <c r="AB109" i="10" l="1"/>
  <c r="AF109" i="10" s="1"/>
  <c r="W110" i="10" s="1"/>
  <c r="X110" i="10" s="1"/>
  <c r="Y110" i="10" s="1"/>
  <c r="C72" i="11"/>
  <c r="H78" i="9"/>
  <c r="O78" i="9" s="1"/>
  <c r="Q78" i="9"/>
  <c r="D72" i="11"/>
  <c r="AG109" i="10"/>
  <c r="F137" i="10"/>
  <c r="E137" i="10"/>
  <c r="I137" i="10"/>
  <c r="R110" i="10"/>
  <c r="P110" i="10"/>
  <c r="T110" i="10"/>
  <c r="O110" i="10"/>
  <c r="O72" i="11" l="1"/>
  <c r="C79" i="9"/>
  <c r="D79" i="9" s="1"/>
  <c r="E79" i="9" s="1"/>
  <c r="Q110" i="10"/>
  <c r="S110" i="10" s="1"/>
  <c r="L111" i="10" s="1"/>
  <c r="M111" i="10" s="1"/>
  <c r="N111" i="10" s="1"/>
  <c r="AA110" i="10"/>
  <c r="AB110" i="10" s="1"/>
  <c r="AF110" i="10" s="1"/>
  <c r="W111" i="10" s="1"/>
  <c r="AE110" i="10"/>
  <c r="Z110" i="10"/>
  <c r="AD110" i="10"/>
  <c r="AC110" i="10"/>
  <c r="AG110" i="10" s="1"/>
  <c r="G137" i="10"/>
  <c r="H137" i="10" s="1"/>
  <c r="B138" i="10" s="1"/>
  <c r="G79" i="9" l="1"/>
  <c r="N79" i="9"/>
  <c r="F73" i="11" s="1"/>
  <c r="L73" i="11" s="1"/>
  <c r="N73" i="11" s="1"/>
  <c r="P73" i="11" s="1"/>
  <c r="F79" i="9"/>
  <c r="P79" i="9" s="1"/>
  <c r="K79" i="9"/>
  <c r="J79" i="9"/>
  <c r="M79" i="9"/>
  <c r="E73" i="11" s="1"/>
  <c r="L79" i="9"/>
  <c r="T111" i="10"/>
  <c r="O111" i="10"/>
  <c r="R111" i="10"/>
  <c r="P111" i="10"/>
  <c r="Q111" i="10" s="1"/>
  <c r="S111" i="10" s="1"/>
  <c r="L112" i="10" s="1"/>
  <c r="X111" i="10"/>
  <c r="Y111" i="10" s="1"/>
  <c r="C138" i="10"/>
  <c r="D138" i="10"/>
  <c r="C73" i="11" l="1"/>
  <c r="H79" i="9"/>
  <c r="O79" i="9" s="1"/>
  <c r="Q79" i="9"/>
  <c r="D73" i="11"/>
  <c r="M112" i="10"/>
  <c r="N112" i="10" s="1"/>
  <c r="AC111" i="10"/>
  <c r="AD111" i="10"/>
  <c r="Z111" i="10"/>
  <c r="AE111" i="10"/>
  <c r="AA111" i="10"/>
  <c r="I138" i="10"/>
  <c r="E138" i="10"/>
  <c r="F138" i="10"/>
  <c r="G138" i="10" s="1"/>
  <c r="H138" i="10" s="1"/>
  <c r="B139" i="10" s="1"/>
  <c r="AB111" i="10" l="1"/>
  <c r="O73" i="11"/>
  <c r="C80" i="9"/>
  <c r="AF111" i="10"/>
  <c r="W112" i="10" s="1"/>
  <c r="X112" i="10" s="1"/>
  <c r="Y112" i="10" s="1"/>
  <c r="AG111" i="10"/>
  <c r="P112" i="10"/>
  <c r="O112" i="10"/>
  <c r="R112" i="10"/>
  <c r="T112" i="10"/>
  <c r="C139" i="10"/>
  <c r="D139" i="10"/>
  <c r="Q112" i="10" l="1"/>
  <c r="S112" i="10" s="1"/>
  <c r="L113" i="10" s="1"/>
  <c r="M113" i="10" s="1"/>
  <c r="N113" i="10" s="1"/>
  <c r="D80" i="9"/>
  <c r="E80" i="9" s="1"/>
  <c r="AE112" i="10"/>
  <c r="AC112" i="10"/>
  <c r="AA112" i="10"/>
  <c r="Z112" i="10"/>
  <c r="AD112" i="10"/>
  <c r="E139" i="10"/>
  <c r="I139" i="10"/>
  <c r="F139" i="10"/>
  <c r="G139" i="10" s="1"/>
  <c r="H139" i="10" s="1"/>
  <c r="B140" i="10" s="1"/>
  <c r="K80" i="9" l="1"/>
  <c r="J80" i="9"/>
  <c r="M80" i="9"/>
  <c r="E74" i="11" s="1"/>
  <c r="F80" i="9"/>
  <c r="P80" i="9" s="1"/>
  <c r="G80" i="9"/>
  <c r="N80" i="9"/>
  <c r="F74" i="11" s="1"/>
  <c r="L74" i="11" s="1"/>
  <c r="N74" i="11" s="1"/>
  <c r="P74" i="11" s="1"/>
  <c r="L80" i="9"/>
  <c r="R113" i="10"/>
  <c r="O113" i="10"/>
  <c r="T113" i="10"/>
  <c r="P113" i="10"/>
  <c r="C140" i="10"/>
  <c r="D140" i="10"/>
  <c r="AG112" i="10"/>
  <c r="AB112" i="10"/>
  <c r="AF112" i="10" s="1"/>
  <c r="W113" i="10" s="1"/>
  <c r="Q113" i="10" l="1"/>
  <c r="S113" i="10" s="1"/>
  <c r="L114" i="10" s="1"/>
  <c r="M114" i="10" s="1"/>
  <c r="N114" i="10" s="1"/>
  <c r="C74" i="11"/>
  <c r="H80" i="9"/>
  <c r="O80" i="9" s="1"/>
  <c r="Q80" i="9"/>
  <c r="D74" i="11"/>
  <c r="E140" i="10"/>
  <c r="I140" i="10"/>
  <c r="F140" i="10"/>
  <c r="G140" i="10" s="1"/>
  <c r="H140" i="10" s="1"/>
  <c r="B141" i="10" s="1"/>
  <c r="X113" i="10"/>
  <c r="Y113" i="10" s="1"/>
  <c r="C81" i="9" l="1"/>
  <c r="O74" i="11"/>
  <c r="T114" i="10"/>
  <c r="O114" i="10"/>
  <c r="R114" i="10"/>
  <c r="P114" i="10"/>
  <c r="Q114" i="10" s="1"/>
  <c r="S114" i="10" s="1"/>
  <c r="L115" i="10" s="1"/>
  <c r="C141" i="10"/>
  <c r="D141" i="10"/>
  <c r="AE113" i="10"/>
  <c r="AD113" i="10"/>
  <c r="AA113" i="10"/>
  <c r="Z113" i="10"/>
  <c r="AC113" i="10"/>
  <c r="D81" i="9" l="1"/>
  <c r="E81" i="9" s="1"/>
  <c r="AG113" i="10"/>
  <c r="M115" i="10"/>
  <c r="N115" i="10" s="1"/>
  <c r="I141" i="10"/>
  <c r="F141" i="10"/>
  <c r="E141" i="10"/>
  <c r="AB113" i="10"/>
  <c r="AF113" i="10" s="1"/>
  <c r="W114" i="10" s="1"/>
  <c r="M81" i="9" l="1"/>
  <c r="E75" i="11" s="1"/>
  <c r="F81" i="9"/>
  <c r="P81" i="9" s="1"/>
  <c r="G81" i="9"/>
  <c r="L81" i="9"/>
  <c r="J81" i="9"/>
  <c r="K81" i="9"/>
  <c r="N81" i="9"/>
  <c r="F75" i="11" s="1"/>
  <c r="L75" i="11" s="1"/>
  <c r="N75" i="11" s="1"/>
  <c r="P75" i="11" s="1"/>
  <c r="O115" i="10"/>
  <c r="T115" i="10"/>
  <c r="R115" i="10"/>
  <c r="P115" i="10"/>
  <c r="Q115" i="10" s="1"/>
  <c r="S115" i="10" s="1"/>
  <c r="L116" i="10" s="1"/>
  <c r="X114" i="10"/>
  <c r="Y114" i="10"/>
  <c r="G141" i="10"/>
  <c r="H141" i="10" s="1"/>
  <c r="B142" i="10" s="1"/>
  <c r="H81" i="9" l="1"/>
  <c r="O81" i="9" s="1"/>
  <c r="C75" i="11"/>
  <c r="Q81" i="9"/>
  <c r="D75" i="11"/>
  <c r="M116" i="10"/>
  <c r="N116" i="10" s="1"/>
  <c r="AA114" i="10"/>
  <c r="AC114" i="10"/>
  <c r="Z114" i="10"/>
  <c r="AD114" i="10"/>
  <c r="AE114" i="10"/>
  <c r="C142" i="10"/>
  <c r="D142" i="10" s="1"/>
  <c r="AB114" i="10" l="1"/>
  <c r="AF114" i="10" s="1"/>
  <c r="W115" i="10" s="1"/>
  <c r="X115" i="10" s="1"/>
  <c r="Y115" i="10" s="1"/>
  <c r="C82" i="9"/>
  <c r="D82" i="9" s="1"/>
  <c r="E82" i="9" s="1"/>
  <c r="O75" i="11"/>
  <c r="P116" i="10"/>
  <c r="T116" i="10"/>
  <c r="O116" i="10"/>
  <c r="R116" i="10"/>
  <c r="I142" i="10"/>
  <c r="F142" i="10"/>
  <c r="G142" i="10" s="1"/>
  <c r="H142" i="10" s="1"/>
  <c r="B143" i="10" s="1"/>
  <c r="E142" i="10"/>
  <c r="AG114" i="10"/>
  <c r="Q116" i="10" l="1"/>
  <c r="S116" i="10" s="1"/>
  <c r="L117" i="10" s="1"/>
  <c r="G82" i="9"/>
  <c r="N82" i="9"/>
  <c r="F76" i="11" s="1"/>
  <c r="L76" i="11" s="1"/>
  <c r="N76" i="11" s="1"/>
  <c r="P76" i="11" s="1"/>
  <c r="J82" i="9"/>
  <c r="M82" i="9"/>
  <c r="E76" i="11" s="1"/>
  <c r="F82" i="9"/>
  <c r="P82" i="9" s="1"/>
  <c r="K82" i="9"/>
  <c r="L82" i="9"/>
  <c r="M117" i="10"/>
  <c r="N117" i="10" s="1"/>
  <c r="AE115" i="10"/>
  <c r="AA115" i="10"/>
  <c r="AC115" i="10"/>
  <c r="AD115" i="10"/>
  <c r="Z115" i="10"/>
  <c r="C143" i="10"/>
  <c r="D143" i="10" s="1"/>
  <c r="C76" i="11" l="1"/>
  <c r="H82" i="9"/>
  <c r="O82" i="9" s="1"/>
  <c r="Q82" i="9"/>
  <c r="D76" i="11"/>
  <c r="R117" i="10"/>
  <c r="O117" i="10"/>
  <c r="T117" i="10"/>
  <c r="P117" i="10"/>
  <c r="Q117" i="10" s="1"/>
  <c r="S117" i="10" s="1"/>
  <c r="L118" i="10" s="1"/>
  <c r="F143" i="10"/>
  <c r="E143" i="10"/>
  <c r="I143" i="10"/>
  <c r="AG115" i="10"/>
  <c r="AB115" i="10"/>
  <c r="AF115" i="10" s="1"/>
  <c r="W116" i="10" s="1"/>
  <c r="O76" i="11" l="1"/>
  <c r="C83" i="9"/>
  <c r="D83" i="9" s="1"/>
  <c r="E83" i="9" s="1"/>
  <c r="M118" i="10"/>
  <c r="N118" i="10" s="1"/>
  <c r="X116" i="10"/>
  <c r="Y116" i="10" s="1"/>
  <c r="G143" i="10"/>
  <c r="H143" i="10" s="1"/>
  <c r="B144" i="10" s="1"/>
  <c r="F83" i="9" l="1"/>
  <c r="P83" i="9" s="1"/>
  <c r="G83" i="9"/>
  <c r="J83" i="9"/>
  <c r="K83" i="9"/>
  <c r="L83" i="9"/>
  <c r="M83" i="9"/>
  <c r="E77" i="11" s="1"/>
  <c r="N83" i="9"/>
  <c r="F77" i="11" s="1"/>
  <c r="L77" i="11" s="1"/>
  <c r="N77" i="11" s="1"/>
  <c r="P77" i="11" s="1"/>
  <c r="T118" i="10"/>
  <c r="R118" i="10"/>
  <c r="P118" i="10"/>
  <c r="O118" i="10"/>
  <c r="AD116" i="10"/>
  <c r="AA116" i="10"/>
  <c r="AC116" i="10"/>
  <c r="AE116" i="10"/>
  <c r="Z116" i="10"/>
  <c r="C144" i="10"/>
  <c r="D144" i="10"/>
  <c r="H83" i="9" l="1"/>
  <c r="O83" i="9" s="1"/>
  <c r="C77" i="11"/>
  <c r="Q83" i="9"/>
  <c r="D77" i="11"/>
  <c r="E144" i="10"/>
  <c r="I144" i="10"/>
  <c r="F144" i="10"/>
  <c r="G144" i="10" s="1"/>
  <c r="H144" i="10" s="1"/>
  <c r="B145" i="10" s="1"/>
  <c r="Q118" i="10"/>
  <c r="S118" i="10" s="1"/>
  <c r="L119" i="10" s="1"/>
  <c r="AB116" i="10"/>
  <c r="AF116" i="10" s="1"/>
  <c r="W117" i="10" s="1"/>
  <c r="AG116" i="10"/>
  <c r="O77" i="11" l="1"/>
  <c r="C84" i="9"/>
  <c r="D84" i="9" s="1"/>
  <c r="E84" i="9" s="1"/>
  <c r="C145" i="10"/>
  <c r="D145" i="10"/>
  <c r="M119" i="10"/>
  <c r="N119" i="10" s="1"/>
  <c r="X117" i="10"/>
  <c r="Y117" i="10" s="1"/>
  <c r="K84" i="9" l="1"/>
  <c r="M84" i="9"/>
  <c r="E78" i="11" s="1"/>
  <c r="N84" i="9"/>
  <c r="F78" i="11" s="1"/>
  <c r="L78" i="11" s="1"/>
  <c r="N78" i="11" s="1"/>
  <c r="P78" i="11" s="1"/>
  <c r="F84" i="9"/>
  <c r="P84" i="9" s="1"/>
  <c r="G84" i="9"/>
  <c r="J84" i="9"/>
  <c r="L84" i="9"/>
  <c r="I145" i="10"/>
  <c r="F145" i="10"/>
  <c r="E145" i="10"/>
  <c r="R119" i="10"/>
  <c r="O119" i="10"/>
  <c r="P119" i="10"/>
  <c r="T119" i="10"/>
  <c r="Z117" i="10"/>
  <c r="AD117" i="10"/>
  <c r="AA117" i="10"/>
  <c r="AB117" i="10" s="1"/>
  <c r="AE117" i="10"/>
  <c r="AC117" i="10"/>
  <c r="AG117" i="10" s="1"/>
  <c r="Q119" i="10" l="1"/>
  <c r="S119" i="10" s="1"/>
  <c r="L120" i="10" s="1"/>
  <c r="M120" i="10" s="1"/>
  <c r="N120" i="10" s="1"/>
  <c r="H84" i="9"/>
  <c r="O84" i="9" s="1"/>
  <c r="C78" i="11"/>
  <c r="Q84" i="9"/>
  <c r="D78" i="11"/>
  <c r="AF117" i="10"/>
  <c r="W118" i="10" s="1"/>
  <c r="X118" i="10"/>
  <c r="Y118" i="10" s="1"/>
  <c r="G145" i="10"/>
  <c r="H145" i="10" s="1"/>
  <c r="B146" i="10" s="1"/>
  <c r="O78" i="11" l="1"/>
  <c r="C85" i="9"/>
  <c r="R120" i="10"/>
  <c r="T120" i="10"/>
  <c r="O120" i="10"/>
  <c r="P120" i="10"/>
  <c r="Q120" i="10" s="1"/>
  <c r="S120" i="10" s="1"/>
  <c r="L121" i="10" s="1"/>
  <c r="AA118" i="10"/>
  <c r="AE118" i="10"/>
  <c r="AC118" i="10"/>
  <c r="Z118" i="10"/>
  <c r="AD118" i="10"/>
  <c r="C146" i="10"/>
  <c r="D146" i="10"/>
  <c r="D85" i="9" l="1"/>
  <c r="E85" i="9" s="1"/>
  <c r="AB118" i="10"/>
  <c r="AF118" i="10" s="1"/>
  <c r="W119" i="10" s="1"/>
  <c r="M121" i="10"/>
  <c r="N121" i="10" s="1"/>
  <c r="X119" i="10"/>
  <c r="Y119" i="10" s="1"/>
  <c r="I146" i="10"/>
  <c r="E146" i="10"/>
  <c r="F146" i="10"/>
  <c r="G146" i="10" s="1"/>
  <c r="H146" i="10" s="1"/>
  <c r="B147" i="10" s="1"/>
  <c r="AG118" i="10"/>
  <c r="F85" i="9" l="1"/>
  <c r="P85" i="9" s="1"/>
  <c r="G85" i="9"/>
  <c r="J85" i="9"/>
  <c r="K85" i="9"/>
  <c r="L85" i="9"/>
  <c r="M85" i="9"/>
  <c r="E79" i="11" s="1"/>
  <c r="N85" i="9"/>
  <c r="F79" i="11" s="1"/>
  <c r="L79" i="11" s="1"/>
  <c r="N79" i="11" s="1"/>
  <c r="P79" i="11" s="1"/>
  <c r="R121" i="10"/>
  <c r="T121" i="10"/>
  <c r="O121" i="10"/>
  <c r="P121" i="10"/>
  <c r="AA119" i="10"/>
  <c r="AC119" i="10"/>
  <c r="Z119" i="10"/>
  <c r="AE119" i="10"/>
  <c r="AD119" i="10"/>
  <c r="C147" i="10"/>
  <c r="D147" i="10" s="1"/>
  <c r="H85" i="9" l="1"/>
  <c r="O85" i="9" s="1"/>
  <c r="C79" i="11"/>
  <c r="Q85" i="9"/>
  <c r="D79" i="11"/>
  <c r="AB119" i="10"/>
  <c r="AF119" i="10" s="1"/>
  <c r="W120" i="10" s="1"/>
  <c r="X120" i="10"/>
  <c r="Y120" i="10" s="1"/>
  <c r="I147" i="10"/>
  <c r="E147" i="10"/>
  <c r="F147" i="10"/>
  <c r="G147" i="10" s="1"/>
  <c r="H147" i="10" s="1"/>
  <c r="B148" i="10" s="1"/>
  <c r="Q121" i="10"/>
  <c r="S121" i="10" s="1"/>
  <c r="L122" i="10" s="1"/>
  <c r="AG119" i="10"/>
  <c r="O79" i="11" l="1"/>
  <c r="C86" i="9"/>
  <c r="D86" i="9" s="1"/>
  <c r="E86" i="9" s="1"/>
  <c r="AE120" i="10"/>
  <c r="AC120" i="10"/>
  <c r="AA120" i="10"/>
  <c r="AD120" i="10"/>
  <c r="Z120" i="10"/>
  <c r="C148" i="10"/>
  <c r="D148" i="10" s="1"/>
  <c r="M122" i="10"/>
  <c r="N122" i="10" s="1"/>
  <c r="M86" i="9" l="1"/>
  <c r="E80" i="11" s="1"/>
  <c r="F86" i="9"/>
  <c r="P86" i="9" s="1"/>
  <c r="G86" i="9"/>
  <c r="J86" i="9"/>
  <c r="K86" i="9"/>
  <c r="L86" i="9"/>
  <c r="N86" i="9"/>
  <c r="F80" i="11" s="1"/>
  <c r="L80" i="11" s="1"/>
  <c r="N80" i="11" s="1"/>
  <c r="P80" i="11" s="1"/>
  <c r="AB120" i="10"/>
  <c r="AF120" i="10" s="1"/>
  <c r="W121" i="10" s="1"/>
  <c r="X121" i="10" s="1"/>
  <c r="Y121" i="10" s="1"/>
  <c r="F148" i="10"/>
  <c r="I148" i="10"/>
  <c r="E148" i="10"/>
  <c r="O122" i="10"/>
  <c r="P122" i="10"/>
  <c r="Q122" i="10" s="1"/>
  <c r="S122" i="10" s="1"/>
  <c r="L123" i="10" s="1"/>
  <c r="R122" i="10"/>
  <c r="T122" i="10"/>
  <c r="AG120" i="10"/>
  <c r="C80" i="11" l="1"/>
  <c r="H86" i="9"/>
  <c r="O86" i="9" s="1"/>
  <c r="Q86" i="9"/>
  <c r="D80" i="11"/>
  <c r="AA121" i="10"/>
  <c r="AC121" i="10"/>
  <c r="AE121" i="10"/>
  <c r="Z121" i="10"/>
  <c r="AD121" i="10"/>
  <c r="M123" i="10"/>
  <c r="N123" i="10" s="1"/>
  <c r="G148" i="10"/>
  <c r="H148" i="10" s="1"/>
  <c r="B149" i="10" s="1"/>
  <c r="O80" i="11" l="1"/>
  <c r="C87" i="9"/>
  <c r="D87" i="9" s="1"/>
  <c r="E87" i="9" s="1"/>
  <c r="T123" i="10"/>
  <c r="R123" i="10"/>
  <c r="O123" i="10"/>
  <c r="P123" i="10"/>
  <c r="C149" i="10"/>
  <c r="D149" i="10"/>
  <c r="AB121" i="10"/>
  <c r="AF121" i="10" s="1"/>
  <c r="W122" i="10" s="1"/>
  <c r="AG121" i="10"/>
  <c r="N87" i="9" l="1"/>
  <c r="F81" i="11" s="1"/>
  <c r="L81" i="11" s="1"/>
  <c r="N81" i="11" s="1"/>
  <c r="P81" i="11" s="1"/>
  <c r="F87" i="9"/>
  <c r="P87" i="9" s="1"/>
  <c r="G87" i="9"/>
  <c r="J87" i="9"/>
  <c r="K87" i="9"/>
  <c r="L87" i="9"/>
  <c r="M87" i="9"/>
  <c r="E81" i="11" s="1"/>
  <c r="F149" i="10"/>
  <c r="E149" i="10"/>
  <c r="I149" i="10"/>
  <c r="X122" i="10"/>
  <c r="Y122" i="10"/>
  <c r="Q123" i="10"/>
  <c r="S123" i="10" s="1"/>
  <c r="L124" i="10" s="1"/>
  <c r="C81" i="11" l="1"/>
  <c r="H87" i="9"/>
  <c r="O87" i="9" s="1"/>
  <c r="Q87" i="9"/>
  <c r="D81" i="11"/>
  <c r="AA122" i="10"/>
  <c r="Z122" i="10"/>
  <c r="AE122" i="10"/>
  <c r="AD122" i="10"/>
  <c r="AC122" i="10"/>
  <c r="M124" i="10"/>
  <c r="N124" i="10" s="1"/>
  <c r="G149" i="10"/>
  <c r="H149" i="10" s="1"/>
  <c r="B150" i="10" s="1"/>
  <c r="O81" i="11" l="1"/>
  <c r="C88" i="9"/>
  <c r="D88" i="9" s="1"/>
  <c r="E88" i="9" s="1"/>
  <c r="R124" i="10"/>
  <c r="O124" i="10"/>
  <c r="P124" i="10"/>
  <c r="Q124" i="10" s="1"/>
  <c r="T124" i="10"/>
  <c r="C150" i="10"/>
  <c r="D150" i="10" s="1"/>
  <c r="AB122" i="10"/>
  <c r="AF122" i="10" s="1"/>
  <c r="W123" i="10" s="1"/>
  <c r="AG122" i="10"/>
  <c r="S124" i="10" l="1"/>
  <c r="L125" i="10" s="1"/>
  <c r="M125" i="10" s="1"/>
  <c r="N125" i="10" s="1"/>
  <c r="F88" i="9"/>
  <c r="P88" i="9" s="1"/>
  <c r="N88" i="9"/>
  <c r="F82" i="11" s="1"/>
  <c r="L82" i="11" s="1"/>
  <c r="N82" i="11" s="1"/>
  <c r="P82" i="11" s="1"/>
  <c r="J88" i="9"/>
  <c r="K88" i="9"/>
  <c r="L88" i="9"/>
  <c r="G88" i="9"/>
  <c r="M88" i="9"/>
  <c r="E82" i="11" s="1"/>
  <c r="I150" i="10"/>
  <c r="F150" i="10"/>
  <c r="E150" i="10"/>
  <c r="X123" i="10"/>
  <c r="Y123" i="10"/>
  <c r="Q88" i="9" l="1"/>
  <c r="D82" i="11"/>
  <c r="H88" i="9"/>
  <c r="O88" i="9" s="1"/>
  <c r="C82" i="11"/>
  <c r="T125" i="10"/>
  <c r="P125" i="10"/>
  <c r="O125" i="10"/>
  <c r="R125" i="10"/>
  <c r="AA123" i="10"/>
  <c r="AD123" i="10"/>
  <c r="Z123" i="10"/>
  <c r="AE123" i="10"/>
  <c r="AC123" i="10"/>
  <c r="G150" i="10"/>
  <c r="H150" i="10" s="1"/>
  <c r="B151" i="10" s="1"/>
  <c r="O82" i="11" l="1"/>
  <c r="C89" i="9"/>
  <c r="AG123" i="10"/>
  <c r="C151" i="10"/>
  <c r="D151" i="10" s="1"/>
  <c r="AB123" i="10"/>
  <c r="AF123" i="10" s="1"/>
  <c r="W124" i="10" s="1"/>
  <c r="Q125" i="10"/>
  <c r="S125" i="10" s="1"/>
  <c r="L126" i="10" s="1"/>
  <c r="D89" i="9" l="1"/>
  <c r="E89" i="9" s="1"/>
  <c r="E151" i="10"/>
  <c r="F151" i="10"/>
  <c r="G151" i="10" s="1"/>
  <c r="H151" i="10" s="1"/>
  <c r="B152" i="10" s="1"/>
  <c r="I151" i="10"/>
  <c r="X124" i="10"/>
  <c r="Y124" i="10" s="1"/>
  <c r="M126" i="10"/>
  <c r="N126" i="10" s="1"/>
  <c r="N89" i="9" l="1"/>
  <c r="F83" i="11" s="1"/>
  <c r="L83" i="11" s="1"/>
  <c r="N83" i="11" s="1"/>
  <c r="P83" i="11" s="1"/>
  <c r="M89" i="9"/>
  <c r="E83" i="11" s="1"/>
  <c r="F89" i="9"/>
  <c r="P89" i="9" s="1"/>
  <c r="K89" i="9"/>
  <c r="J89" i="9"/>
  <c r="G89" i="9"/>
  <c r="L89" i="9"/>
  <c r="C152" i="10"/>
  <c r="D152" i="10" s="1"/>
  <c r="AE124" i="10"/>
  <c r="AD124" i="10"/>
  <c r="AC124" i="10"/>
  <c r="AA124" i="10"/>
  <c r="Z124" i="10"/>
  <c r="P126" i="10"/>
  <c r="O126" i="10"/>
  <c r="R126" i="10"/>
  <c r="T126" i="10"/>
  <c r="H89" i="9" l="1"/>
  <c r="O89" i="9" s="1"/>
  <c r="C83" i="11"/>
  <c r="D83" i="11"/>
  <c r="Q89" i="9"/>
  <c r="AB124" i="10"/>
  <c r="AF124" i="10" s="1"/>
  <c r="W125" i="10" s="1"/>
  <c r="X125" i="10" s="1"/>
  <c r="Y125" i="10" s="1"/>
  <c r="F152" i="10"/>
  <c r="I152" i="10"/>
  <c r="E152" i="10"/>
  <c r="Q126" i="10"/>
  <c r="S126" i="10" s="1"/>
  <c r="L127" i="10" s="1"/>
  <c r="AG124" i="10"/>
  <c r="O83" i="11" l="1"/>
  <c r="C90" i="9"/>
  <c r="D90" i="9" s="1"/>
  <c r="E90" i="9" s="1"/>
  <c r="AD125" i="10"/>
  <c r="Z125" i="10"/>
  <c r="AE125" i="10"/>
  <c r="AC125" i="10"/>
  <c r="AA125" i="10"/>
  <c r="AB125" i="10" s="1"/>
  <c r="M127" i="10"/>
  <c r="N127" i="10" s="1"/>
  <c r="G152" i="10"/>
  <c r="H152" i="10" s="1"/>
  <c r="B153" i="10" s="1"/>
  <c r="AG125" i="10" l="1"/>
  <c r="AF125" i="10"/>
  <c r="W126" i="10" s="1"/>
  <c r="X126" i="10" s="1"/>
  <c r="Y126" i="10" s="1"/>
  <c r="F90" i="9"/>
  <c r="P90" i="9" s="1"/>
  <c r="G90" i="9"/>
  <c r="J90" i="9"/>
  <c r="K90" i="9"/>
  <c r="L90" i="9"/>
  <c r="M90" i="9"/>
  <c r="E84" i="11" s="1"/>
  <c r="N90" i="9"/>
  <c r="F84" i="11" s="1"/>
  <c r="L84" i="11" s="1"/>
  <c r="N84" i="11" s="1"/>
  <c r="P84" i="11" s="1"/>
  <c r="R127" i="10"/>
  <c r="T127" i="10"/>
  <c r="O127" i="10"/>
  <c r="P127" i="10"/>
  <c r="Q127" i="10" s="1"/>
  <c r="S127" i="10" s="1"/>
  <c r="L128" i="10" s="1"/>
  <c r="C153" i="10"/>
  <c r="D153" i="10"/>
  <c r="H90" i="9" l="1"/>
  <c r="O90" i="9" s="1"/>
  <c r="C84" i="11"/>
  <c r="D84" i="11"/>
  <c r="Q90" i="9"/>
  <c r="AA126" i="10"/>
  <c r="AB126" i="10" s="1"/>
  <c r="AF126" i="10" s="1"/>
  <c r="W127" i="10" s="1"/>
  <c r="AE126" i="10"/>
  <c r="Z126" i="10"/>
  <c r="AC126" i="10"/>
  <c r="AD126" i="10"/>
  <c r="M128" i="10"/>
  <c r="N128" i="10" s="1"/>
  <c r="F153" i="10"/>
  <c r="G153" i="10" s="1"/>
  <c r="H153" i="10" s="1"/>
  <c r="B154" i="10" s="1"/>
  <c r="E153" i="10"/>
  <c r="I153" i="10"/>
  <c r="O84" i="11" l="1"/>
  <c r="C91" i="9"/>
  <c r="D91" i="9" s="1"/>
  <c r="E91" i="9" s="1"/>
  <c r="X127" i="10"/>
  <c r="Y127" i="10" s="1"/>
  <c r="O128" i="10"/>
  <c r="R128" i="10"/>
  <c r="P128" i="10"/>
  <c r="T128" i="10"/>
  <c r="C154" i="10"/>
  <c r="D154" i="10" s="1"/>
  <c r="AG126" i="10"/>
  <c r="M91" i="9" l="1"/>
  <c r="E85" i="11" s="1"/>
  <c r="L91" i="9"/>
  <c r="K91" i="9"/>
  <c r="J91" i="9"/>
  <c r="G91" i="9"/>
  <c r="F91" i="9"/>
  <c r="P91" i="9" s="1"/>
  <c r="N91" i="9"/>
  <c r="F85" i="11" s="1"/>
  <c r="L85" i="11" s="1"/>
  <c r="N85" i="11" s="1"/>
  <c r="P85" i="11" s="1"/>
  <c r="AE127" i="10"/>
  <c r="AD127" i="10"/>
  <c r="AC127" i="10"/>
  <c r="AA127" i="10"/>
  <c r="Z127" i="10"/>
  <c r="F154" i="10"/>
  <c r="G154" i="10" s="1"/>
  <c r="H154" i="10" s="1"/>
  <c r="B5" i="10" s="1"/>
  <c r="I154" i="10"/>
  <c r="E154" i="10"/>
  <c r="Q128" i="10"/>
  <c r="S128" i="10" s="1"/>
  <c r="L129" i="10" s="1"/>
  <c r="AG127" i="10" l="1"/>
  <c r="AB127" i="10"/>
  <c r="AF127" i="10" s="1"/>
  <c r="W128" i="10" s="1"/>
  <c r="Q91" i="9"/>
  <c r="D85" i="11"/>
  <c r="C85" i="11"/>
  <c r="H91" i="9"/>
  <c r="O91" i="9" s="1"/>
  <c r="B7" i="10"/>
  <c r="B26" i="6" s="1"/>
  <c r="B24" i="6"/>
  <c r="B8" i="10"/>
  <c r="B27" i="6" s="1"/>
  <c r="B6" i="10"/>
  <c r="B25" i="6" s="1"/>
  <c r="M129" i="10"/>
  <c r="N129" i="10" s="1"/>
  <c r="O85" i="11" l="1"/>
  <c r="C92" i="9"/>
  <c r="D92" i="9" s="1"/>
  <c r="E92" i="9" s="1"/>
  <c r="X128" i="10"/>
  <c r="Y128" i="10" s="1"/>
  <c r="T129" i="10"/>
  <c r="O129" i="10"/>
  <c r="P129" i="10"/>
  <c r="R129" i="10"/>
  <c r="AA128" i="10" l="1"/>
  <c r="AD128" i="10"/>
  <c r="Z128" i="10"/>
  <c r="AE128" i="10"/>
  <c r="AC128" i="10"/>
  <c r="AG128" i="10" s="1"/>
  <c r="N92" i="9"/>
  <c r="F86" i="11" s="1"/>
  <c r="L86" i="11" s="1"/>
  <c r="N86" i="11" s="1"/>
  <c r="P86" i="11" s="1"/>
  <c r="M92" i="9"/>
  <c r="E86" i="11" s="1"/>
  <c r="L92" i="9"/>
  <c r="K92" i="9"/>
  <c r="J92" i="9"/>
  <c r="G92" i="9"/>
  <c r="F92" i="9"/>
  <c r="P92" i="9" s="1"/>
  <c r="Q129" i="10"/>
  <c r="S129" i="10" s="1"/>
  <c r="L130" i="10" s="1"/>
  <c r="AB128" i="10" l="1"/>
  <c r="AF128" i="10" s="1"/>
  <c r="W129" i="10" s="1"/>
  <c r="X129" i="10" s="1"/>
  <c r="Y129" i="10" s="1"/>
  <c r="Q92" i="9"/>
  <c r="D86" i="11"/>
  <c r="C86" i="11"/>
  <c r="H92" i="9"/>
  <c r="O92" i="9" s="1"/>
  <c r="M130" i="10"/>
  <c r="N130" i="10" s="1"/>
  <c r="AC129" i="10" l="1"/>
  <c r="AE129" i="10"/>
  <c r="Z129" i="10"/>
  <c r="AA129" i="10"/>
  <c r="AB129" i="10" s="1"/>
  <c r="AD129" i="10"/>
  <c r="C93" i="9"/>
  <c r="O86" i="11"/>
  <c r="O130" i="10"/>
  <c r="P130" i="10"/>
  <c r="Q130" i="10" s="1"/>
  <c r="S130" i="10" s="1"/>
  <c r="L131" i="10" s="1"/>
  <c r="R130" i="10"/>
  <c r="T130" i="10"/>
  <c r="AF129" i="10" l="1"/>
  <c r="W130" i="10" s="1"/>
  <c r="X130" i="10" s="1"/>
  <c r="Y130" i="10" s="1"/>
  <c r="AG129" i="10"/>
  <c r="D93" i="9"/>
  <c r="E93" i="9" s="1"/>
  <c r="M131" i="10"/>
  <c r="N131" i="10" s="1"/>
  <c r="AD130" i="10" l="1"/>
  <c r="Z130" i="10"/>
  <c r="AC130" i="10"/>
  <c r="AG130" i="10" s="1"/>
  <c r="AE130" i="10"/>
  <c r="AA130" i="10"/>
  <c r="N93" i="9"/>
  <c r="F87" i="11" s="1"/>
  <c r="L87" i="11" s="1"/>
  <c r="N87" i="11" s="1"/>
  <c r="P87" i="11" s="1"/>
  <c r="M93" i="9"/>
  <c r="E87" i="11" s="1"/>
  <c r="L93" i="9"/>
  <c r="K93" i="9"/>
  <c r="J93" i="9"/>
  <c r="G93" i="9"/>
  <c r="F93" i="9"/>
  <c r="P93" i="9" s="1"/>
  <c r="T131" i="10"/>
  <c r="R131" i="10"/>
  <c r="P131" i="10"/>
  <c r="O131" i="10"/>
  <c r="AB130" i="10"/>
  <c r="AF130" i="10" s="1"/>
  <c r="W131" i="10" s="1"/>
  <c r="Q93" i="9" l="1"/>
  <c r="D87" i="11"/>
  <c r="C87" i="11"/>
  <c r="H93" i="9"/>
  <c r="O93" i="9" s="1"/>
  <c r="X131" i="10"/>
  <c r="Y131" i="10" s="1"/>
  <c r="Q131" i="10"/>
  <c r="S131" i="10" s="1"/>
  <c r="L132" i="10" s="1"/>
  <c r="C94" i="9" l="1"/>
  <c r="O87" i="11"/>
  <c r="AE131" i="10"/>
  <c r="AC131" i="10"/>
  <c r="AD131" i="10"/>
  <c r="Z131" i="10"/>
  <c r="AA131" i="10"/>
  <c r="M132" i="10"/>
  <c r="N132" i="10"/>
  <c r="AB131" i="10" l="1"/>
  <c r="AF131" i="10" s="1"/>
  <c r="W132" i="10" s="1"/>
  <c r="X132" i="10" s="1"/>
  <c r="Y132" i="10" s="1"/>
  <c r="D94" i="9"/>
  <c r="E94" i="9" s="1"/>
  <c r="T132" i="10"/>
  <c r="R132" i="10"/>
  <c r="P132" i="10"/>
  <c r="O132" i="10"/>
  <c r="AG131" i="10"/>
  <c r="Q132" i="10" l="1"/>
  <c r="S132" i="10" s="1"/>
  <c r="L133" i="10" s="1"/>
  <c r="M133" i="10" s="1"/>
  <c r="N133" i="10" s="1"/>
  <c r="N94" i="9"/>
  <c r="F88" i="11" s="1"/>
  <c r="L88" i="11" s="1"/>
  <c r="N88" i="11" s="1"/>
  <c r="P88" i="11" s="1"/>
  <c r="M94" i="9"/>
  <c r="E88" i="11" s="1"/>
  <c r="L94" i="9"/>
  <c r="K94" i="9"/>
  <c r="J94" i="9"/>
  <c r="G94" i="9"/>
  <c r="F94" i="9"/>
  <c r="P94" i="9" s="1"/>
  <c r="Z132" i="10"/>
  <c r="AE132" i="10"/>
  <c r="AD132" i="10"/>
  <c r="AC132" i="10"/>
  <c r="AA132" i="10"/>
  <c r="AB132" i="10" s="1"/>
  <c r="AF132" i="10" s="1"/>
  <c r="W133" i="10" s="1"/>
  <c r="AG132" i="10" l="1"/>
  <c r="Q94" i="9"/>
  <c r="D88" i="11"/>
  <c r="C88" i="11"/>
  <c r="H94" i="9"/>
  <c r="O94" i="9" s="1"/>
  <c r="X133" i="10"/>
  <c r="Y133" i="10" s="1"/>
  <c r="O133" i="10"/>
  <c r="P133" i="10"/>
  <c r="Q133" i="10" s="1"/>
  <c r="S133" i="10" s="1"/>
  <c r="L134" i="10" s="1"/>
  <c r="R133" i="10"/>
  <c r="T133" i="10"/>
  <c r="O88" i="11" l="1"/>
  <c r="C95" i="9"/>
  <c r="Z133" i="10"/>
  <c r="AD133" i="10"/>
  <c r="AC133" i="10"/>
  <c r="AG133" i="10" s="1"/>
  <c r="AA133" i="10"/>
  <c r="AE133" i="10"/>
  <c r="M134" i="10"/>
  <c r="N134" i="10" s="1"/>
  <c r="AB133" i="10" l="1"/>
  <c r="AF133" i="10" s="1"/>
  <c r="W134" i="10" s="1"/>
  <c r="X134" i="10" s="1"/>
  <c r="D95" i="9"/>
  <c r="E95" i="9" s="1"/>
  <c r="T134" i="10"/>
  <c r="R134" i="10"/>
  <c r="P134" i="10"/>
  <c r="O134" i="10"/>
  <c r="Y134" i="10" l="1"/>
  <c r="J95" i="9"/>
  <c r="N95" i="9"/>
  <c r="F89" i="11" s="1"/>
  <c r="L89" i="11" s="1"/>
  <c r="N89" i="11" s="1"/>
  <c r="P89" i="11" s="1"/>
  <c r="F95" i="9"/>
  <c r="P95" i="9" s="1"/>
  <c r="G95" i="9"/>
  <c r="M95" i="9"/>
  <c r="E89" i="11" s="1"/>
  <c r="L95" i="9"/>
  <c r="K95" i="9"/>
  <c r="Q134" i="10"/>
  <c r="S134" i="10" s="1"/>
  <c r="L135" i="10" s="1"/>
  <c r="AE134" i="10" l="1"/>
  <c r="AA134" i="10"/>
  <c r="Z134" i="10"/>
  <c r="AC134" i="10"/>
  <c r="AD134" i="10"/>
  <c r="AB134" i="10"/>
  <c r="AF134" i="10" s="1"/>
  <c r="W135" i="10" s="1"/>
  <c r="X135" i="10" s="1"/>
  <c r="Y135" i="10" s="1"/>
  <c r="C89" i="11"/>
  <c r="H95" i="9"/>
  <c r="O95" i="9" s="1"/>
  <c r="Q95" i="9"/>
  <c r="D89" i="11"/>
  <c r="M135" i="10"/>
  <c r="N135" i="10" s="1"/>
  <c r="AG134" i="10"/>
  <c r="O89" i="11" l="1"/>
  <c r="C96" i="9"/>
  <c r="AE135" i="10"/>
  <c r="AC135" i="10"/>
  <c r="AA135" i="10"/>
  <c r="Z135" i="10"/>
  <c r="AD135" i="10"/>
  <c r="O135" i="10"/>
  <c r="P135" i="10"/>
  <c r="Q135" i="10" s="1"/>
  <c r="R135" i="10"/>
  <c r="T135" i="10"/>
  <c r="S135" i="10" l="1"/>
  <c r="L136" i="10" s="1"/>
  <c r="M136" i="10" s="1"/>
  <c r="N136" i="10" s="1"/>
  <c r="D96" i="9"/>
  <c r="E96" i="9" s="1"/>
  <c r="AG135" i="10"/>
  <c r="AB135" i="10"/>
  <c r="AF135" i="10" s="1"/>
  <c r="W136" i="10" s="1"/>
  <c r="G96" i="9" l="1"/>
  <c r="N96" i="9"/>
  <c r="F90" i="11" s="1"/>
  <c r="L90" i="11" s="1"/>
  <c r="N90" i="11" s="1"/>
  <c r="P90" i="11" s="1"/>
  <c r="F96" i="9"/>
  <c r="P96" i="9" s="1"/>
  <c r="M96" i="9"/>
  <c r="E90" i="11" s="1"/>
  <c r="L96" i="9"/>
  <c r="J96" i="9"/>
  <c r="K96" i="9"/>
  <c r="T136" i="10"/>
  <c r="R136" i="10"/>
  <c r="P136" i="10"/>
  <c r="O136" i="10"/>
  <c r="X136" i="10"/>
  <c r="Y136" i="10" s="1"/>
  <c r="Q136" i="10" l="1"/>
  <c r="S136" i="10" s="1"/>
  <c r="L137" i="10" s="1"/>
  <c r="M137" i="10" s="1"/>
  <c r="N137" i="10" s="1"/>
  <c r="C90" i="11"/>
  <c r="H96" i="9"/>
  <c r="O96" i="9" s="1"/>
  <c r="Q96" i="9"/>
  <c r="D90" i="11"/>
  <c r="AC136" i="10"/>
  <c r="AE136" i="10"/>
  <c r="AD136" i="10"/>
  <c r="AA136" i="10"/>
  <c r="Z136" i="10"/>
  <c r="AG136" i="10" l="1"/>
  <c r="O90" i="11"/>
  <c r="C97" i="9"/>
  <c r="D97" i="9"/>
  <c r="E97" i="9" s="1"/>
  <c r="O137" i="10"/>
  <c r="R137" i="10"/>
  <c r="P137" i="10"/>
  <c r="T137" i="10"/>
  <c r="AB136" i="10"/>
  <c r="AF136" i="10" s="1"/>
  <c r="W137" i="10" s="1"/>
  <c r="M97" i="9" l="1"/>
  <c r="E91" i="11" s="1"/>
  <c r="N97" i="9"/>
  <c r="F91" i="11" s="1"/>
  <c r="L91" i="11" s="1"/>
  <c r="N91" i="11" s="1"/>
  <c r="P91" i="11" s="1"/>
  <c r="J97" i="9"/>
  <c r="F97" i="9"/>
  <c r="P97" i="9" s="1"/>
  <c r="K97" i="9"/>
  <c r="G97" i="9"/>
  <c r="L97" i="9"/>
  <c r="X137" i="10"/>
  <c r="Y137" i="10" s="1"/>
  <c r="Q137" i="10"/>
  <c r="S137" i="10" s="1"/>
  <c r="L138" i="10" s="1"/>
  <c r="H97" i="9" l="1"/>
  <c r="O97" i="9" s="1"/>
  <c r="C91" i="11"/>
  <c r="Q97" i="9"/>
  <c r="D91" i="11"/>
  <c r="Z137" i="10"/>
  <c r="AC137" i="10"/>
  <c r="AE137" i="10"/>
  <c r="AD137" i="10"/>
  <c r="AA137" i="10"/>
  <c r="M138" i="10"/>
  <c r="N138" i="10" s="1"/>
  <c r="O91" i="11" l="1"/>
  <c r="C98" i="9"/>
  <c r="R138" i="10"/>
  <c r="P138" i="10"/>
  <c r="O138" i="10"/>
  <c r="T138" i="10"/>
  <c r="AG137" i="10"/>
  <c r="AB137" i="10"/>
  <c r="AF137" i="10" s="1"/>
  <c r="W138" i="10" s="1"/>
  <c r="D98" i="9" l="1"/>
  <c r="E98" i="9" s="1"/>
  <c r="X138" i="10"/>
  <c r="Y138" i="10" s="1"/>
  <c r="Q138" i="10"/>
  <c r="S138" i="10" s="1"/>
  <c r="L139" i="10" s="1"/>
  <c r="N98" i="9" l="1"/>
  <c r="F92" i="11" s="1"/>
  <c r="L92" i="11" s="1"/>
  <c r="N92" i="11" s="1"/>
  <c r="P92" i="11" s="1"/>
  <c r="J98" i="9"/>
  <c r="F98" i="9"/>
  <c r="P98" i="9" s="1"/>
  <c r="L98" i="9"/>
  <c r="M98" i="9"/>
  <c r="E92" i="11" s="1"/>
  <c r="K98" i="9"/>
  <c r="G98" i="9"/>
  <c r="AC138" i="10"/>
  <c r="AA138" i="10"/>
  <c r="Z138" i="10"/>
  <c r="AE138" i="10"/>
  <c r="AD138" i="10"/>
  <c r="M139" i="10"/>
  <c r="N139" i="10" s="1"/>
  <c r="Q98" i="9" l="1"/>
  <c r="D92" i="11"/>
  <c r="C92" i="11"/>
  <c r="H98" i="9"/>
  <c r="O98" i="9" s="1"/>
  <c r="O139" i="10"/>
  <c r="P139" i="10"/>
  <c r="R139" i="10"/>
  <c r="T139" i="10"/>
  <c r="AG138" i="10"/>
  <c r="AB138" i="10"/>
  <c r="AF138" i="10" s="1"/>
  <c r="W139" i="10" s="1"/>
  <c r="Q139" i="10" l="1"/>
  <c r="S139" i="10" s="1"/>
  <c r="L140" i="10" s="1"/>
  <c r="M140" i="10" s="1"/>
  <c r="N140" i="10" s="1"/>
  <c r="O92" i="11"/>
  <c r="C99" i="9"/>
  <c r="X139" i="10"/>
  <c r="Y139" i="10" s="1"/>
  <c r="D99" i="9" l="1"/>
  <c r="E99" i="9" s="1"/>
  <c r="T140" i="10"/>
  <c r="P140" i="10"/>
  <c r="O140" i="10"/>
  <c r="R140" i="10"/>
  <c r="AA139" i="10"/>
  <c r="AE139" i="10"/>
  <c r="AD139" i="10"/>
  <c r="AC139" i="10"/>
  <c r="Z139" i="10"/>
  <c r="L99" i="9" l="1"/>
  <c r="G99" i="9"/>
  <c r="N99" i="9"/>
  <c r="F93" i="11" s="1"/>
  <c r="L93" i="11" s="1"/>
  <c r="N93" i="11" s="1"/>
  <c r="P93" i="11" s="1"/>
  <c r="J99" i="9"/>
  <c r="F99" i="9"/>
  <c r="P99" i="9" s="1"/>
  <c r="M99" i="9"/>
  <c r="E93" i="11" s="1"/>
  <c r="K99" i="9"/>
  <c r="Q140" i="10"/>
  <c r="S140" i="10" s="1"/>
  <c r="L141" i="10" s="1"/>
  <c r="AG139" i="10"/>
  <c r="AB139" i="10"/>
  <c r="AF139" i="10" s="1"/>
  <c r="W140" i="10" s="1"/>
  <c r="Q99" i="9" l="1"/>
  <c r="D93" i="11"/>
  <c r="C93" i="11"/>
  <c r="H99" i="9"/>
  <c r="O99" i="9" s="1"/>
  <c r="M141" i="10"/>
  <c r="N141" i="10" s="1"/>
  <c r="X140" i="10"/>
  <c r="Y140" i="10"/>
  <c r="O93" i="11" l="1"/>
  <c r="C100" i="9"/>
  <c r="T141" i="10"/>
  <c r="O141" i="10"/>
  <c r="R141" i="10"/>
  <c r="P141" i="10"/>
  <c r="AC140" i="10"/>
  <c r="AE140" i="10"/>
  <c r="Z140" i="10"/>
  <c r="AA140" i="10"/>
  <c r="AB140" i="10" s="1"/>
  <c r="AF140" i="10" s="1"/>
  <c r="W141" i="10" s="1"/>
  <c r="AD140" i="10"/>
  <c r="Q141" i="10" l="1"/>
  <c r="S141" i="10" s="1"/>
  <c r="L142" i="10" s="1"/>
  <c r="M142" i="10" s="1"/>
  <c r="N142" i="10" s="1"/>
  <c r="D100" i="9"/>
  <c r="E100" i="9" s="1"/>
  <c r="X141" i="10"/>
  <c r="Y141" i="10" s="1"/>
  <c r="AG140" i="10"/>
  <c r="K100" i="9" l="1"/>
  <c r="G100" i="9"/>
  <c r="N100" i="9"/>
  <c r="F94" i="11" s="1"/>
  <c r="L94" i="11" s="1"/>
  <c r="N94" i="11" s="1"/>
  <c r="P94" i="11" s="1"/>
  <c r="J100" i="9"/>
  <c r="M100" i="9"/>
  <c r="E94" i="11" s="1"/>
  <c r="F100" i="9"/>
  <c r="P100" i="9" s="1"/>
  <c r="L100" i="9"/>
  <c r="R142" i="10"/>
  <c r="T142" i="10"/>
  <c r="O142" i="10"/>
  <c r="P142" i="10"/>
  <c r="Q142" i="10" s="1"/>
  <c r="S142" i="10" s="1"/>
  <c r="L143" i="10" s="1"/>
  <c r="Z141" i="10"/>
  <c r="AA141" i="10"/>
  <c r="AB141" i="10" s="1"/>
  <c r="AC141" i="10"/>
  <c r="AE141" i="10"/>
  <c r="AD141" i="10"/>
  <c r="AF141" i="10" l="1"/>
  <c r="W142" i="10" s="1"/>
  <c r="X142" i="10" s="1"/>
  <c r="Y142" i="10" s="1"/>
  <c r="H100" i="9"/>
  <c r="O100" i="9" s="1"/>
  <c r="C94" i="11"/>
  <c r="Q100" i="9"/>
  <c r="D94" i="11"/>
  <c r="M143" i="10"/>
  <c r="N143" i="10" s="1"/>
  <c r="AG141" i="10"/>
  <c r="O94" i="11" l="1"/>
  <c r="C101" i="9"/>
  <c r="T143" i="10"/>
  <c r="R143" i="10"/>
  <c r="O143" i="10"/>
  <c r="P143" i="10"/>
  <c r="Q143" i="10" s="1"/>
  <c r="S143" i="10" s="1"/>
  <c r="L144" i="10" s="1"/>
  <c r="Z142" i="10"/>
  <c r="AD142" i="10"/>
  <c r="AE142" i="10"/>
  <c r="AA142" i="10"/>
  <c r="AB142" i="10" s="1"/>
  <c r="AF142" i="10" s="1"/>
  <c r="W143" i="10" s="1"/>
  <c r="AC142" i="10"/>
  <c r="AG142" i="10" s="1"/>
  <c r="D101" i="9" l="1"/>
  <c r="E101" i="9" s="1"/>
  <c r="M144" i="10"/>
  <c r="N144" i="10" s="1"/>
  <c r="X143" i="10"/>
  <c r="Y143" i="10" s="1"/>
  <c r="F101" i="9" l="1"/>
  <c r="P101" i="9" s="1"/>
  <c r="N101" i="9"/>
  <c r="F95" i="11" s="1"/>
  <c r="L95" i="11" s="1"/>
  <c r="N95" i="11" s="1"/>
  <c r="P95" i="11" s="1"/>
  <c r="K101" i="9"/>
  <c r="L101" i="9"/>
  <c r="M101" i="9"/>
  <c r="E95" i="11" s="1"/>
  <c r="G101" i="9"/>
  <c r="J101" i="9"/>
  <c r="T144" i="10"/>
  <c r="R144" i="10"/>
  <c r="P144" i="10"/>
  <c r="O144" i="10"/>
  <c r="AA143" i="10"/>
  <c r="AC143" i="10"/>
  <c r="AD143" i="10"/>
  <c r="AE143" i="10"/>
  <c r="Z143" i="10"/>
  <c r="Q144" i="10" l="1"/>
  <c r="S144" i="10" s="1"/>
  <c r="L145" i="10" s="1"/>
  <c r="M145" i="10" s="1"/>
  <c r="N145" i="10" s="1"/>
  <c r="Q101" i="9"/>
  <c r="D95" i="11"/>
  <c r="C95" i="11"/>
  <c r="H101" i="9"/>
  <c r="O101" i="9" s="1"/>
  <c r="AB143" i="10"/>
  <c r="AF143" i="10" s="1"/>
  <c r="W144" i="10" s="1"/>
  <c r="AG143" i="10"/>
  <c r="O95" i="11" l="1"/>
  <c r="C102" i="9"/>
  <c r="T145" i="10"/>
  <c r="P145" i="10"/>
  <c r="Q145" i="10" s="1"/>
  <c r="S145" i="10" s="1"/>
  <c r="L146" i="10" s="1"/>
  <c r="O145" i="10"/>
  <c r="R145" i="10"/>
  <c r="X144" i="10"/>
  <c r="Y144" i="10"/>
  <c r="D102" i="9" l="1"/>
  <c r="E102" i="9" s="1"/>
  <c r="M146" i="10"/>
  <c r="N146" i="10" s="1"/>
  <c r="AA144" i="10"/>
  <c r="AC144" i="10"/>
  <c r="AE144" i="10"/>
  <c r="Z144" i="10"/>
  <c r="AD144" i="10"/>
  <c r="AB144" i="10" l="1"/>
  <c r="AF144" i="10" s="1"/>
  <c r="W145" i="10" s="1"/>
  <c r="X145" i="10" s="1"/>
  <c r="Y145" i="10" s="1"/>
  <c r="AG144" i="10"/>
  <c r="M102" i="9"/>
  <c r="E96" i="11" s="1"/>
  <c r="F102" i="9"/>
  <c r="P102" i="9" s="1"/>
  <c r="K102" i="9"/>
  <c r="G102" i="9"/>
  <c r="N102" i="9"/>
  <c r="F96" i="11" s="1"/>
  <c r="L96" i="11" s="1"/>
  <c r="N96" i="11" s="1"/>
  <c r="P96" i="11" s="1"/>
  <c r="L102" i="9"/>
  <c r="J102" i="9"/>
  <c r="P146" i="10"/>
  <c r="O146" i="10"/>
  <c r="R146" i="10"/>
  <c r="T146" i="10"/>
  <c r="C96" i="11" l="1"/>
  <c r="H102" i="9"/>
  <c r="O102" i="9" s="1"/>
  <c r="Q102" i="9"/>
  <c r="D96" i="11"/>
  <c r="Z145" i="10"/>
  <c r="AD145" i="10"/>
  <c r="AC145" i="10"/>
  <c r="AE145" i="10"/>
  <c r="AA145" i="10"/>
  <c r="Q146" i="10"/>
  <c r="S146" i="10" s="1"/>
  <c r="L147" i="10" s="1"/>
  <c r="AG145" i="10" l="1"/>
  <c r="AB145" i="10"/>
  <c r="AF145" i="10" s="1"/>
  <c r="W146" i="10" s="1"/>
  <c r="O96" i="11"/>
  <c r="C103" i="9"/>
  <c r="M147" i="10"/>
  <c r="N147" i="10" s="1"/>
  <c r="X146" i="10" l="1"/>
  <c r="Y146" i="10" s="1"/>
  <c r="D103" i="9"/>
  <c r="E103" i="9" s="1"/>
  <c r="T147" i="10"/>
  <c r="P147" i="10"/>
  <c r="O147" i="10"/>
  <c r="R147" i="10"/>
  <c r="AA146" i="10" l="1"/>
  <c r="AB146" i="10" s="1"/>
  <c r="AF146" i="10" s="1"/>
  <c r="W147" i="10" s="1"/>
  <c r="AC146" i="10"/>
  <c r="Z146" i="10"/>
  <c r="AD146" i="10"/>
  <c r="AE146" i="10"/>
  <c r="N103" i="9"/>
  <c r="F97" i="11" s="1"/>
  <c r="L97" i="11" s="1"/>
  <c r="N97" i="11" s="1"/>
  <c r="P97" i="11" s="1"/>
  <c r="M103" i="9"/>
  <c r="E97" i="11" s="1"/>
  <c r="G103" i="9"/>
  <c r="K103" i="9"/>
  <c r="F103" i="9"/>
  <c r="P103" i="9" s="1"/>
  <c r="J103" i="9"/>
  <c r="L103" i="9"/>
  <c r="Q147" i="10"/>
  <c r="S147" i="10" s="1"/>
  <c r="L148" i="10" s="1"/>
  <c r="AG146" i="10" l="1"/>
  <c r="H103" i="9"/>
  <c r="O103" i="9" s="1"/>
  <c r="C97" i="11"/>
  <c r="Q103" i="9"/>
  <c r="D97" i="11"/>
  <c r="M148" i="10"/>
  <c r="N148" i="10" s="1"/>
  <c r="X147" i="10"/>
  <c r="Y147" i="10"/>
  <c r="C104" i="9" l="1"/>
  <c r="O97" i="11"/>
  <c r="P148" i="10"/>
  <c r="R148" i="10"/>
  <c r="T148" i="10"/>
  <c r="O148" i="10"/>
  <c r="AC147" i="10"/>
  <c r="AD147" i="10"/>
  <c r="AE147" i="10"/>
  <c r="Z147" i="10"/>
  <c r="AA147" i="10"/>
  <c r="D104" i="9" l="1"/>
  <c r="E104" i="9" s="1"/>
  <c r="Q148" i="10"/>
  <c r="S148" i="10" s="1"/>
  <c r="L149" i="10" s="1"/>
  <c r="AG147" i="10"/>
  <c r="AB147" i="10"/>
  <c r="AF147" i="10" s="1"/>
  <c r="W148" i="10" s="1"/>
  <c r="G104" i="9" l="1"/>
  <c r="F104" i="9"/>
  <c r="P104" i="9" s="1"/>
  <c r="L104" i="9"/>
  <c r="M104" i="9"/>
  <c r="E98" i="11" s="1"/>
  <c r="N104" i="9"/>
  <c r="F98" i="11" s="1"/>
  <c r="L98" i="11" s="1"/>
  <c r="N98" i="11" s="1"/>
  <c r="P98" i="11" s="1"/>
  <c r="K104" i="9"/>
  <c r="J104" i="9"/>
  <c r="M149" i="10"/>
  <c r="N149" i="10" s="1"/>
  <c r="X148" i="10"/>
  <c r="Y148" i="10" s="1"/>
  <c r="H104" i="9" l="1"/>
  <c r="O104" i="9" s="1"/>
  <c r="C98" i="11"/>
  <c r="Q104" i="9"/>
  <c r="D98" i="11"/>
  <c r="O149" i="10"/>
  <c r="P149" i="10"/>
  <c r="Q149" i="10" s="1"/>
  <c r="S149" i="10" s="1"/>
  <c r="L150" i="10" s="1"/>
  <c r="R149" i="10"/>
  <c r="T149" i="10"/>
  <c r="AA148" i="10"/>
  <c r="Z148" i="10"/>
  <c r="AE148" i="10"/>
  <c r="AD148" i="10"/>
  <c r="AC148" i="10"/>
  <c r="AG148" i="10" s="1"/>
  <c r="M150" i="10" l="1"/>
  <c r="N150" i="10" s="1"/>
  <c r="AB148" i="10"/>
  <c r="AF148" i="10" s="1"/>
  <c r="W149" i="10" s="1"/>
  <c r="C105" i="9"/>
  <c r="O98" i="11"/>
  <c r="O150" i="10" l="1"/>
  <c r="P150" i="10"/>
  <c r="Q150" i="10" s="1"/>
  <c r="R150" i="10"/>
  <c r="T150" i="10"/>
  <c r="X149" i="10"/>
  <c r="Y149" i="10" s="1"/>
  <c r="D105" i="9"/>
  <c r="E105" i="9"/>
  <c r="S150" i="10" l="1"/>
  <c r="L151" i="10" s="1"/>
  <c r="M151" i="10"/>
  <c r="N151" i="10" s="1"/>
  <c r="AA149" i="10"/>
  <c r="AE149" i="10"/>
  <c r="AC149" i="10"/>
  <c r="AD149" i="10"/>
  <c r="Z149" i="10"/>
  <c r="J105" i="9"/>
  <c r="G105" i="9"/>
  <c r="N105" i="9"/>
  <c r="F99" i="11" s="1"/>
  <c r="L99" i="11" s="1"/>
  <c r="N99" i="11" s="1"/>
  <c r="P99" i="11" s="1"/>
  <c r="F105" i="9"/>
  <c r="P105" i="9" s="1"/>
  <c r="K105" i="9"/>
  <c r="M105" i="9"/>
  <c r="E99" i="11" s="1"/>
  <c r="L105" i="9"/>
  <c r="O151" i="10" l="1"/>
  <c r="P151" i="10"/>
  <c r="R151" i="10"/>
  <c r="T151" i="10"/>
  <c r="H105" i="9"/>
  <c r="O105" i="9" s="1"/>
  <c r="C99" i="11"/>
  <c r="Q105" i="9"/>
  <c r="D99" i="11"/>
  <c r="AB149" i="10"/>
  <c r="AF149" i="10" s="1"/>
  <c r="W150" i="10" s="1"/>
  <c r="AG149" i="10"/>
  <c r="Q151" i="10" l="1"/>
  <c r="S151" i="10" s="1"/>
  <c r="L152" i="10" s="1"/>
  <c r="O99" i="11"/>
  <c r="C106" i="9"/>
  <c r="X150" i="10"/>
  <c r="Y150" i="10" s="1"/>
  <c r="M152" i="10" l="1"/>
  <c r="N152" i="10" s="1"/>
  <c r="D106" i="9"/>
  <c r="E106" i="9" s="1"/>
  <c r="AD150" i="10"/>
  <c r="Z150" i="10"/>
  <c r="AE150" i="10"/>
  <c r="AA150" i="10"/>
  <c r="AC150" i="10"/>
  <c r="O152" i="10" l="1"/>
  <c r="R152" i="10"/>
  <c r="P152" i="10"/>
  <c r="T152" i="10"/>
  <c r="F106" i="9"/>
  <c r="P106" i="9" s="1"/>
  <c r="K106" i="9"/>
  <c r="L106" i="9"/>
  <c r="N106" i="9"/>
  <c r="F100" i="11" s="1"/>
  <c r="L100" i="11" s="1"/>
  <c r="N100" i="11" s="1"/>
  <c r="P100" i="11" s="1"/>
  <c r="J106" i="9"/>
  <c r="M106" i="9"/>
  <c r="E100" i="11" s="1"/>
  <c r="G106" i="9"/>
  <c r="AB150" i="10"/>
  <c r="AF150" i="10" s="1"/>
  <c r="W151" i="10" s="1"/>
  <c r="AG150" i="10"/>
  <c r="Q152" i="10" l="1"/>
  <c r="S152" i="10" s="1"/>
  <c r="L153" i="10" s="1"/>
  <c r="M153" i="10" s="1"/>
  <c r="N153" i="10" s="1"/>
  <c r="Q106" i="9"/>
  <c r="D100" i="11"/>
  <c r="H106" i="9"/>
  <c r="O106" i="9" s="1"/>
  <c r="C100" i="11"/>
  <c r="X151" i="10"/>
  <c r="Y151" i="10" s="1"/>
  <c r="C107" i="9" l="1"/>
  <c r="O100" i="11"/>
  <c r="AD151" i="10"/>
  <c r="AC151" i="10"/>
  <c r="AG151" i="10" s="1"/>
  <c r="AE151" i="10"/>
  <c r="Z151" i="10"/>
  <c r="AA151" i="10"/>
  <c r="AB151" i="10" s="1"/>
  <c r="AF151" i="10" s="1"/>
  <c r="W152" i="10" s="1"/>
  <c r="T153" i="10"/>
  <c r="O153" i="10"/>
  <c r="P153" i="10"/>
  <c r="R153" i="10"/>
  <c r="Q153" i="10" l="1"/>
  <c r="S153" i="10"/>
  <c r="L154" i="10" s="1"/>
  <c r="M154" i="10" s="1"/>
  <c r="N154" i="10" s="1"/>
  <c r="D107" i="9"/>
  <c r="E107" i="9" s="1"/>
  <c r="X152" i="10"/>
  <c r="Y152" i="10"/>
  <c r="N107" i="9" l="1"/>
  <c r="F101" i="11" s="1"/>
  <c r="L101" i="11" s="1"/>
  <c r="N101" i="11" s="1"/>
  <c r="P101" i="11" s="1"/>
  <c r="M107" i="9"/>
  <c r="E101" i="11" s="1"/>
  <c r="K107" i="9"/>
  <c r="G107" i="9"/>
  <c r="F107" i="9"/>
  <c r="P107" i="9" s="1"/>
  <c r="L107" i="9"/>
  <c r="J107" i="9"/>
  <c r="AC152" i="10"/>
  <c r="Z152" i="10"/>
  <c r="AD152" i="10"/>
  <c r="AE152" i="10"/>
  <c r="AA152" i="10"/>
  <c r="AB152" i="10" s="1"/>
  <c r="R154" i="10"/>
  <c r="O154" i="10"/>
  <c r="P154" i="10"/>
  <c r="Q154" i="10" s="1"/>
  <c r="S154" i="10" s="1"/>
  <c r="D5" i="10" s="1"/>
  <c r="T154" i="10"/>
  <c r="AF152" i="10" l="1"/>
  <c r="W153" i="10" s="1"/>
  <c r="X153" i="10" s="1"/>
  <c r="Y153" i="10" s="1"/>
  <c r="C101" i="11"/>
  <c r="H107" i="9"/>
  <c r="O107" i="9" s="1"/>
  <c r="Q107" i="9"/>
  <c r="D101" i="11"/>
  <c r="D10" i="10"/>
  <c r="D29" i="6" s="1"/>
  <c r="D11" i="10"/>
  <c r="D6" i="10"/>
  <c r="D25" i="6" s="1"/>
  <c r="D7" i="10"/>
  <c r="D8" i="10"/>
  <c r="D27" i="6" s="1"/>
  <c r="D24" i="6"/>
  <c r="AG152" i="10"/>
  <c r="C108" i="9" l="1"/>
  <c r="O101" i="11"/>
  <c r="AA153" i="10"/>
  <c r="Z153" i="10"/>
  <c r="AE153" i="10"/>
  <c r="AC153" i="10"/>
  <c r="AD153" i="10"/>
  <c r="D26" i="6"/>
  <c r="D9" i="10"/>
  <c r="D28" i="6" s="1"/>
  <c r="D108" i="9" l="1"/>
  <c r="E108" i="9" s="1"/>
  <c r="AB153" i="10"/>
  <c r="AF153" i="10" s="1"/>
  <c r="W154" i="10" s="1"/>
  <c r="AG153" i="10"/>
  <c r="M108" i="9" l="1"/>
  <c r="E102" i="11" s="1"/>
  <c r="F108" i="9"/>
  <c r="P108" i="9" s="1"/>
  <c r="N108" i="9"/>
  <c r="F102" i="11" s="1"/>
  <c r="L102" i="11" s="1"/>
  <c r="N102" i="11" s="1"/>
  <c r="P102" i="11" s="1"/>
  <c r="G108" i="9"/>
  <c r="J108" i="9"/>
  <c r="L108" i="9"/>
  <c r="K108" i="9"/>
  <c r="X154" i="10"/>
  <c r="Y154" i="10"/>
  <c r="H108" i="9" l="1"/>
  <c r="O108" i="9" s="1"/>
  <c r="C102" i="11"/>
  <c r="Q108" i="9"/>
  <c r="D102" i="11"/>
  <c r="AD154" i="10"/>
  <c r="Z154" i="10"/>
  <c r="AE154" i="10"/>
  <c r="AA154" i="10"/>
  <c r="AC154" i="10"/>
  <c r="AB154" i="10" l="1"/>
  <c r="AF154" i="10" s="1"/>
  <c r="F5" i="10" s="1"/>
  <c r="AG154" i="10"/>
  <c r="C109" i="9"/>
  <c r="O102" i="11"/>
  <c r="D109" i="9"/>
  <c r="E109" i="9" s="1"/>
  <c r="F6" i="10" l="1"/>
  <c r="F25" i="6" s="1"/>
  <c r="F8" i="10"/>
  <c r="F27" i="6" s="1"/>
  <c r="F7" i="10"/>
  <c r="F10" i="10"/>
  <c r="F29" i="6" s="1"/>
  <c r="F24" i="6"/>
  <c r="F11" i="10"/>
  <c r="F109" i="9"/>
  <c r="P109" i="9" s="1"/>
  <c r="L109" i="9"/>
  <c r="M109" i="9"/>
  <c r="E103" i="11" s="1"/>
  <c r="K109" i="9"/>
  <c r="N109" i="9"/>
  <c r="F103" i="11" s="1"/>
  <c r="L103" i="11" s="1"/>
  <c r="N103" i="11" s="1"/>
  <c r="P103" i="11" s="1"/>
  <c r="G109" i="9"/>
  <c r="J109" i="9"/>
  <c r="F26" i="6" l="1"/>
  <c r="F9" i="10"/>
  <c r="F28" i="6" s="1"/>
  <c r="Q109" i="9"/>
  <c r="D103" i="11"/>
  <c r="H109" i="9"/>
  <c r="O109" i="9" s="1"/>
  <c r="C103" i="11"/>
  <c r="C110" i="9" l="1"/>
  <c r="O103" i="11"/>
  <c r="D110" i="9" l="1"/>
  <c r="E110" i="9" s="1"/>
  <c r="L110" i="9" l="1"/>
  <c r="F110" i="9"/>
  <c r="P110" i="9" s="1"/>
  <c r="M110" i="9"/>
  <c r="E104" i="11" s="1"/>
  <c r="K110" i="9"/>
  <c r="G110" i="9"/>
  <c r="J110" i="9"/>
  <c r="N110" i="9"/>
  <c r="F104" i="11" s="1"/>
  <c r="L104" i="11" s="1"/>
  <c r="N104" i="11" s="1"/>
  <c r="P104" i="11" s="1"/>
  <c r="Q110" i="9" l="1"/>
  <c r="D104" i="11"/>
  <c r="C104" i="11"/>
  <c r="H110" i="9"/>
  <c r="O110" i="9" s="1"/>
  <c r="O104" i="11" l="1"/>
  <c r="C111" i="9"/>
  <c r="D111" i="9" l="1"/>
  <c r="E111" i="9" s="1"/>
  <c r="G111" i="9" l="1"/>
  <c r="J111" i="9"/>
  <c r="F111" i="9"/>
  <c r="P111" i="9" s="1"/>
  <c r="N111" i="9"/>
  <c r="F105" i="11" s="1"/>
  <c r="L105" i="11" s="1"/>
  <c r="N105" i="11" s="1"/>
  <c r="P105" i="11" s="1"/>
  <c r="K111" i="9"/>
  <c r="L111" i="9"/>
  <c r="M111" i="9"/>
  <c r="E105" i="11" s="1"/>
  <c r="H111" i="9" l="1"/>
  <c r="O111" i="9" s="1"/>
  <c r="C105" i="11"/>
  <c r="Q111" i="9"/>
  <c r="D105" i="11"/>
  <c r="C112" i="9" l="1"/>
  <c r="D112" i="9" s="1"/>
  <c r="E112" i="9" s="1"/>
  <c r="O105" i="11"/>
  <c r="F112" i="9" l="1"/>
  <c r="P112" i="9" s="1"/>
  <c r="G112" i="9"/>
  <c r="J112" i="9"/>
  <c r="M112" i="9"/>
  <c r="E106" i="11" s="1"/>
  <c r="L112" i="9"/>
  <c r="K112" i="9"/>
  <c r="N112" i="9"/>
  <c r="F106" i="11" s="1"/>
  <c r="L106" i="11" s="1"/>
  <c r="N106" i="11" s="1"/>
  <c r="P106" i="11" s="1"/>
  <c r="H112" i="9" l="1"/>
  <c r="O112" i="9" s="1"/>
  <c r="C106" i="11"/>
  <c r="Q112" i="9"/>
  <c r="D106" i="11"/>
  <c r="C113" i="9" l="1"/>
  <c r="O106" i="11"/>
  <c r="D113" i="9" l="1"/>
  <c r="E113" i="9" s="1"/>
  <c r="N113" i="9" l="1"/>
  <c r="F107" i="11" s="1"/>
  <c r="L107" i="11" s="1"/>
  <c r="N107" i="11" s="1"/>
  <c r="P107" i="11" s="1"/>
  <c r="J113" i="9"/>
  <c r="G113" i="9"/>
  <c r="F113" i="9"/>
  <c r="P113" i="9" s="1"/>
  <c r="M113" i="9"/>
  <c r="E107" i="11" s="1"/>
  <c r="K113" i="9"/>
  <c r="L113" i="9"/>
  <c r="C107" i="11" l="1"/>
  <c r="H113" i="9"/>
  <c r="O113" i="9" s="1"/>
  <c r="Q113" i="9"/>
  <c r="D107" i="11"/>
  <c r="C114" i="9" l="1"/>
  <c r="O107" i="11"/>
  <c r="D114" i="9"/>
  <c r="E114" i="9" s="1"/>
  <c r="L114" i="9" l="1"/>
  <c r="J114" i="9"/>
  <c r="K114" i="9"/>
  <c r="G114" i="9"/>
  <c r="F114" i="9"/>
  <c r="P114" i="9" s="1"/>
  <c r="N114" i="9"/>
  <c r="F108" i="11" s="1"/>
  <c r="L108" i="11" s="1"/>
  <c r="N108" i="11" s="1"/>
  <c r="P108" i="11" s="1"/>
  <c r="M114" i="9"/>
  <c r="E108" i="11" s="1"/>
  <c r="Q114" i="9" l="1"/>
  <c r="D108" i="11"/>
  <c r="H114" i="9"/>
  <c r="O114" i="9" s="1"/>
  <c r="C108" i="11"/>
  <c r="C115" i="9" l="1"/>
  <c r="O108" i="11"/>
  <c r="D115" i="9" l="1"/>
  <c r="E115" i="9" s="1"/>
  <c r="F115" i="9" l="1"/>
  <c r="P115" i="9" s="1"/>
  <c r="L115" i="9"/>
  <c r="M115" i="9"/>
  <c r="E109" i="11" s="1"/>
  <c r="G115" i="9"/>
  <c r="N115" i="9"/>
  <c r="F109" i="11" s="1"/>
  <c r="L109" i="11" s="1"/>
  <c r="N109" i="11" s="1"/>
  <c r="P109" i="11" s="1"/>
  <c r="J115" i="9"/>
  <c r="K115" i="9"/>
  <c r="Q115" i="9" l="1"/>
  <c r="D109" i="11"/>
  <c r="H115" i="9"/>
  <c r="O115" i="9" s="1"/>
  <c r="C109" i="11"/>
  <c r="O109" i="11" l="1"/>
  <c r="C116" i="9"/>
  <c r="D116" i="9" l="1"/>
  <c r="E116" i="9" s="1"/>
  <c r="K116" i="9" l="1"/>
  <c r="M116" i="9"/>
  <c r="E110" i="11" s="1"/>
  <c r="N116" i="9"/>
  <c r="F110" i="11" s="1"/>
  <c r="L110" i="11" s="1"/>
  <c r="N110" i="11" s="1"/>
  <c r="P110" i="11" s="1"/>
  <c r="F116" i="9"/>
  <c r="P116" i="9" s="1"/>
  <c r="L116" i="9"/>
  <c r="G116" i="9"/>
  <c r="J116" i="9"/>
  <c r="Q116" i="9" l="1"/>
  <c r="D110" i="11"/>
  <c r="C110" i="11"/>
  <c r="H116" i="9"/>
  <c r="O116" i="9" s="1"/>
  <c r="C117" i="9" l="1"/>
  <c r="O110" i="11"/>
  <c r="D117" i="9" l="1"/>
  <c r="E117" i="9" s="1"/>
  <c r="M117" i="9" l="1"/>
  <c r="E111" i="11" s="1"/>
  <c r="F117" i="9"/>
  <c r="P117" i="9" s="1"/>
  <c r="N117" i="9"/>
  <c r="F111" i="11" s="1"/>
  <c r="L111" i="11" s="1"/>
  <c r="N111" i="11" s="1"/>
  <c r="P111" i="11" s="1"/>
  <c r="L117" i="9"/>
  <c r="J117" i="9"/>
  <c r="K117" i="9"/>
  <c r="G117" i="9"/>
  <c r="Q117" i="9" l="1"/>
  <c r="D111" i="11"/>
  <c r="H117" i="9"/>
  <c r="O117" i="9" s="1"/>
  <c r="C111" i="11"/>
  <c r="C118" i="9" l="1"/>
  <c r="O111" i="11"/>
  <c r="D118" i="9" l="1"/>
  <c r="E118" i="9" s="1"/>
  <c r="G118" i="9" l="1"/>
  <c r="F118" i="9"/>
  <c r="P118" i="9" s="1"/>
  <c r="M118" i="9"/>
  <c r="E112" i="11" s="1"/>
  <c r="L118" i="9"/>
  <c r="K118" i="9"/>
  <c r="N118" i="9"/>
  <c r="F112" i="11" s="1"/>
  <c r="L112" i="11" s="1"/>
  <c r="N112" i="11" s="1"/>
  <c r="P112" i="11" s="1"/>
  <c r="J118" i="9"/>
  <c r="C112" i="11" l="1"/>
  <c r="H118" i="9"/>
  <c r="O118" i="9" s="1"/>
  <c r="Q118" i="9"/>
  <c r="D112" i="11"/>
  <c r="C119" i="9" l="1"/>
  <c r="O112" i="11"/>
  <c r="D119" i="9" l="1"/>
  <c r="E119" i="9" s="1"/>
  <c r="N119" i="9" l="1"/>
  <c r="F113" i="11" s="1"/>
  <c r="L113" i="11" s="1"/>
  <c r="N113" i="11" s="1"/>
  <c r="P113" i="11" s="1"/>
  <c r="J119" i="9"/>
  <c r="M119" i="9"/>
  <c r="E113" i="11" s="1"/>
  <c r="L119" i="9"/>
  <c r="G119" i="9"/>
  <c r="K119" i="9"/>
  <c r="F119" i="9"/>
  <c r="P119" i="9" s="1"/>
  <c r="Q119" i="9" l="1"/>
  <c r="D113" i="11"/>
  <c r="H119" i="9"/>
  <c r="O119" i="9" s="1"/>
  <c r="C113" i="11"/>
  <c r="O113" i="11" l="1"/>
  <c r="C120" i="9"/>
  <c r="D120" i="9" l="1"/>
  <c r="E120" i="9" s="1"/>
  <c r="N120" i="9" l="1"/>
  <c r="F114" i="11" s="1"/>
  <c r="L114" i="11" s="1"/>
  <c r="N114" i="11" s="1"/>
  <c r="P114" i="11" s="1"/>
  <c r="F120" i="9"/>
  <c r="P120" i="9" s="1"/>
  <c r="L120" i="9"/>
  <c r="J120" i="9"/>
  <c r="G120" i="9"/>
  <c r="M120" i="9"/>
  <c r="E114" i="11" s="1"/>
  <c r="K120" i="9"/>
  <c r="Q120" i="9" l="1"/>
  <c r="D114" i="11"/>
  <c r="H120" i="9"/>
  <c r="O120" i="9" s="1"/>
  <c r="C114" i="11"/>
  <c r="C121" i="9" l="1"/>
  <c r="O114" i="11"/>
  <c r="D121" i="9" l="1"/>
  <c r="E121" i="9" s="1"/>
  <c r="F121" i="9" l="1"/>
  <c r="P121" i="9" s="1"/>
  <c r="M121" i="9"/>
  <c r="E115" i="11" s="1"/>
  <c r="N121" i="9"/>
  <c r="F115" i="11" s="1"/>
  <c r="L115" i="11" s="1"/>
  <c r="N115" i="11" s="1"/>
  <c r="P115" i="11" s="1"/>
  <c r="K121" i="9"/>
  <c r="J121" i="9"/>
  <c r="G121" i="9"/>
  <c r="L121" i="9"/>
  <c r="H121" i="9" l="1"/>
  <c r="O121" i="9" s="1"/>
  <c r="C115" i="11"/>
  <c r="Q121" i="9"/>
  <c r="D115" i="11"/>
  <c r="C122" i="9" l="1"/>
  <c r="O115" i="11"/>
  <c r="D122" i="9" l="1"/>
  <c r="E122" i="9" s="1"/>
  <c r="M122" i="9" l="1"/>
  <c r="E116" i="11" s="1"/>
  <c r="G122" i="9"/>
  <c r="J122" i="9"/>
  <c r="L122" i="9"/>
  <c r="F122" i="9"/>
  <c r="P122" i="9" s="1"/>
  <c r="N122" i="9"/>
  <c r="F116" i="11" s="1"/>
  <c r="L116" i="11" s="1"/>
  <c r="N116" i="11" s="1"/>
  <c r="P116" i="11" s="1"/>
  <c r="K122" i="9"/>
  <c r="H122" i="9" l="1"/>
  <c r="O122" i="9" s="1"/>
  <c r="C116" i="11"/>
  <c r="Q122" i="9"/>
  <c r="D116" i="11"/>
  <c r="C123" i="9" l="1"/>
  <c r="O116" i="11"/>
  <c r="D123" i="9" l="1"/>
  <c r="E123" i="9" s="1"/>
  <c r="M123" i="9" l="1"/>
  <c r="E117" i="11" s="1"/>
  <c r="F123" i="9"/>
  <c r="P123" i="9" s="1"/>
  <c r="N123" i="9"/>
  <c r="F117" i="11" s="1"/>
  <c r="L117" i="11" s="1"/>
  <c r="N117" i="11" s="1"/>
  <c r="P117" i="11" s="1"/>
  <c r="J123" i="9"/>
  <c r="G123" i="9"/>
  <c r="L123" i="9"/>
  <c r="K123" i="9"/>
  <c r="C117" i="11" l="1"/>
  <c r="H123" i="9"/>
  <c r="O123" i="9" s="1"/>
  <c r="Q123" i="9"/>
  <c r="D117" i="11"/>
  <c r="O117" i="11" l="1"/>
  <c r="C124" i="9"/>
  <c r="D124" i="9" l="1"/>
  <c r="E124" i="9" s="1"/>
  <c r="L124" i="9" l="1"/>
  <c r="J124" i="9"/>
  <c r="F124" i="9"/>
  <c r="P124" i="9" s="1"/>
  <c r="K124" i="9"/>
  <c r="M124" i="9"/>
  <c r="E118" i="11" s="1"/>
  <c r="N124" i="9"/>
  <c r="F118" i="11" s="1"/>
  <c r="L118" i="11" s="1"/>
  <c r="N118" i="11" s="1"/>
  <c r="P118" i="11" s="1"/>
  <c r="G124" i="9"/>
  <c r="Q124" i="9" l="1"/>
  <c r="D118" i="11"/>
  <c r="H124" i="9"/>
  <c r="O124" i="9" s="1"/>
  <c r="C118" i="11"/>
  <c r="C125" i="9" l="1"/>
  <c r="O118" i="11"/>
  <c r="D125" i="9" l="1"/>
  <c r="E125" i="9" s="1"/>
  <c r="N125" i="9" l="1"/>
  <c r="F119" i="11" s="1"/>
  <c r="L119" i="11" s="1"/>
  <c r="N119" i="11" s="1"/>
  <c r="P119" i="11" s="1"/>
  <c r="K125" i="9"/>
  <c r="G125" i="9"/>
  <c r="M125" i="9"/>
  <c r="E119" i="11" s="1"/>
  <c r="F125" i="9"/>
  <c r="P125" i="9" s="1"/>
  <c r="J125" i="9"/>
  <c r="L125" i="9"/>
  <c r="C119" i="11" l="1"/>
  <c r="H125" i="9"/>
  <c r="O125" i="9" s="1"/>
  <c r="Q125" i="9"/>
  <c r="D119" i="11"/>
  <c r="C126" i="9" l="1"/>
  <c r="O119" i="11"/>
  <c r="D126" i="9" l="1"/>
  <c r="E126" i="9" s="1"/>
  <c r="N126" i="9" l="1"/>
  <c r="F120" i="11" s="1"/>
  <c r="L120" i="11" s="1"/>
  <c r="N120" i="11" s="1"/>
  <c r="P120" i="11" s="1"/>
  <c r="G126" i="9"/>
  <c r="M126" i="9"/>
  <c r="E120" i="11" s="1"/>
  <c r="K126" i="9"/>
  <c r="F126" i="9"/>
  <c r="P126" i="9" s="1"/>
  <c r="J126" i="9"/>
  <c r="L126" i="9"/>
  <c r="C120" i="11" l="1"/>
  <c r="H126" i="9"/>
  <c r="O126" i="9" s="1"/>
  <c r="Q126" i="9"/>
  <c r="D120" i="11"/>
  <c r="C127" i="9" l="1"/>
  <c r="O120" i="11"/>
  <c r="D127" i="9" l="1"/>
  <c r="E127" i="9" s="1"/>
  <c r="M127" i="9" l="1"/>
  <c r="E121" i="11" s="1"/>
  <c r="F127" i="9"/>
  <c r="P127" i="9" s="1"/>
  <c r="J127" i="9"/>
  <c r="K127" i="9"/>
  <c r="G127" i="9"/>
  <c r="N127" i="9"/>
  <c r="F121" i="11" s="1"/>
  <c r="L121" i="11" s="1"/>
  <c r="N121" i="11" s="1"/>
  <c r="P121" i="11" s="1"/>
  <c r="L127" i="9"/>
  <c r="H127" i="9" l="1"/>
  <c r="O127" i="9" s="1"/>
  <c r="C121" i="11"/>
  <c r="Q127" i="9"/>
  <c r="D121" i="11"/>
  <c r="C128" i="9" l="1"/>
  <c r="O121" i="11"/>
  <c r="D128" i="9" l="1"/>
  <c r="E128" i="9" s="1"/>
  <c r="N128" i="9" l="1"/>
  <c r="F122" i="11" s="1"/>
  <c r="L122" i="11" s="1"/>
  <c r="N122" i="11" s="1"/>
  <c r="P122" i="11" s="1"/>
  <c r="J128" i="9"/>
  <c r="G128" i="9"/>
  <c r="L128" i="9"/>
  <c r="M128" i="9"/>
  <c r="E122" i="11" s="1"/>
  <c r="K128" i="9"/>
  <c r="F128" i="9"/>
  <c r="P128" i="9" s="1"/>
  <c r="H128" i="9" l="1"/>
  <c r="O128" i="9" s="1"/>
  <c r="C122" i="11"/>
  <c r="Q128" i="9"/>
  <c r="D122" i="11"/>
  <c r="C129" i="9" l="1"/>
  <c r="O122" i="11"/>
  <c r="D129" i="9" l="1"/>
  <c r="E129" i="9" s="1"/>
  <c r="N129" i="9" l="1"/>
  <c r="F123" i="11" s="1"/>
  <c r="L123" i="11" s="1"/>
  <c r="N123" i="11" s="1"/>
  <c r="P123" i="11" s="1"/>
  <c r="K129" i="9"/>
  <c r="M129" i="9"/>
  <c r="E123" i="11" s="1"/>
  <c r="F129" i="9"/>
  <c r="P129" i="9" s="1"/>
  <c r="L129" i="9"/>
  <c r="G129" i="9"/>
  <c r="J129" i="9"/>
  <c r="Q129" i="9" l="1"/>
  <c r="D123" i="11"/>
  <c r="H129" i="9"/>
  <c r="O129" i="9" s="1"/>
  <c r="C123" i="11"/>
  <c r="C130" i="9" l="1"/>
  <c r="O123" i="11"/>
  <c r="D130" i="9" l="1"/>
  <c r="E130" i="9" s="1"/>
  <c r="L130" i="9" l="1"/>
  <c r="F130" i="9"/>
  <c r="P130" i="9" s="1"/>
  <c r="M130" i="9"/>
  <c r="E124" i="11" s="1"/>
  <c r="J130" i="9"/>
  <c r="N130" i="9"/>
  <c r="F124" i="11" s="1"/>
  <c r="L124" i="11" s="1"/>
  <c r="N124" i="11" s="1"/>
  <c r="P124" i="11" s="1"/>
  <c r="G130" i="9"/>
  <c r="K130" i="9"/>
  <c r="Q130" i="9" l="1"/>
  <c r="D124" i="11"/>
  <c r="H130" i="9"/>
  <c r="O130" i="9" s="1"/>
  <c r="C124" i="11"/>
  <c r="C131" i="9" l="1"/>
  <c r="O124" i="11"/>
  <c r="D131" i="9" l="1"/>
  <c r="E131" i="9" s="1"/>
  <c r="G131" i="9" l="1"/>
  <c r="J131" i="9"/>
  <c r="F131" i="9"/>
  <c r="P131" i="9" s="1"/>
  <c r="N131" i="9"/>
  <c r="F125" i="11" s="1"/>
  <c r="L125" i="11" s="1"/>
  <c r="N125" i="11" s="1"/>
  <c r="P125" i="11" s="1"/>
  <c r="M131" i="9"/>
  <c r="E125" i="11" s="1"/>
  <c r="K131" i="9"/>
  <c r="L131" i="9"/>
  <c r="C125" i="11" l="1"/>
  <c r="H131" i="9"/>
  <c r="O131" i="9" s="1"/>
  <c r="Q131" i="9"/>
  <c r="D125" i="11"/>
  <c r="O125" i="11" l="1"/>
  <c r="C132" i="9"/>
  <c r="D132" i="9" l="1"/>
  <c r="E132" i="9" s="1"/>
  <c r="M132" i="9" l="1"/>
  <c r="E126" i="11" s="1"/>
  <c r="J132" i="9"/>
  <c r="N132" i="9"/>
  <c r="F126" i="11" s="1"/>
  <c r="L126" i="11" s="1"/>
  <c r="N126" i="11" s="1"/>
  <c r="P126" i="11" s="1"/>
  <c r="F132" i="9"/>
  <c r="P132" i="9" s="1"/>
  <c r="G132" i="9"/>
  <c r="L132" i="9"/>
  <c r="K132" i="9"/>
  <c r="C126" i="11" l="1"/>
  <c r="H132" i="9"/>
  <c r="O132" i="9" s="1"/>
  <c r="Q132" i="9"/>
  <c r="D126" i="11"/>
  <c r="C133" i="9" l="1"/>
  <c r="O126" i="11"/>
  <c r="D133" i="9" l="1"/>
  <c r="E133" i="9" s="1"/>
  <c r="M133" i="9" l="1"/>
  <c r="E127" i="11" s="1"/>
  <c r="K133" i="9"/>
  <c r="F133" i="9"/>
  <c r="P133" i="9" s="1"/>
  <c r="N133" i="9"/>
  <c r="F127" i="11" s="1"/>
  <c r="L127" i="11" s="1"/>
  <c r="N127" i="11" s="1"/>
  <c r="P127" i="11" s="1"/>
  <c r="L133" i="9"/>
  <c r="J133" i="9"/>
  <c r="G133" i="9"/>
  <c r="Q133" i="9" l="1"/>
  <c r="D127" i="11"/>
  <c r="H133" i="9"/>
  <c r="O133" i="9" s="1"/>
  <c r="C127" i="11"/>
  <c r="O127" i="11" l="1"/>
  <c r="C134" i="9"/>
  <c r="D134" i="9" l="1"/>
  <c r="E134" i="9" s="1"/>
  <c r="M134" i="9" l="1"/>
  <c r="E128" i="11" s="1"/>
  <c r="K134" i="9"/>
  <c r="F134" i="9"/>
  <c r="P134" i="9" s="1"/>
  <c r="N134" i="9"/>
  <c r="F128" i="11" s="1"/>
  <c r="L128" i="11" s="1"/>
  <c r="N128" i="11" s="1"/>
  <c r="P128" i="11" s="1"/>
  <c r="L134" i="9"/>
  <c r="J134" i="9"/>
  <c r="G134" i="9"/>
  <c r="Q134" i="9" l="1"/>
  <c r="D128" i="11"/>
  <c r="H134" i="9"/>
  <c r="O134" i="9" s="1"/>
  <c r="C128" i="11"/>
  <c r="C135" i="9" l="1"/>
  <c r="O128" i="11"/>
  <c r="D135" i="9" l="1"/>
  <c r="E135" i="9" s="1"/>
  <c r="N135" i="9" l="1"/>
  <c r="F129" i="11" s="1"/>
  <c r="L129" i="11" s="1"/>
  <c r="N129" i="11" s="1"/>
  <c r="P129" i="11" s="1"/>
  <c r="L135" i="9"/>
  <c r="J135" i="9"/>
  <c r="G135" i="9"/>
  <c r="F135" i="9"/>
  <c r="P135" i="9" s="1"/>
  <c r="M135" i="9"/>
  <c r="E129" i="11" s="1"/>
  <c r="K135" i="9"/>
  <c r="Q135" i="9" l="1"/>
  <c r="D129" i="11"/>
  <c r="C129" i="11"/>
  <c r="H135" i="9"/>
  <c r="O135" i="9" s="1"/>
  <c r="O129" i="11" l="1"/>
  <c r="C136" i="9"/>
  <c r="D136" i="9" l="1"/>
  <c r="E136" i="9" s="1"/>
  <c r="N136" i="9" l="1"/>
  <c r="L136" i="9"/>
  <c r="K136" i="9"/>
  <c r="F136" i="9"/>
  <c r="M136" i="9"/>
  <c r="J136" i="9"/>
  <c r="G136" i="9"/>
  <c r="H10" i="9" l="1"/>
  <c r="F130" i="11"/>
  <c r="Q136" i="9"/>
  <c r="F10" i="9"/>
  <c r="D130" i="11"/>
  <c r="P136" i="9"/>
  <c r="F8" i="9"/>
  <c r="F11" i="9"/>
  <c r="F12" i="9"/>
  <c r="E130" i="11"/>
  <c r="C130" i="11"/>
  <c r="H136" i="9"/>
  <c r="O136" i="9" s="1"/>
  <c r="D4" i="11" l="1"/>
  <c r="A20" i="6" s="1"/>
  <c r="H4" i="11"/>
  <c r="L130" i="11"/>
  <c r="N130" i="11" s="1"/>
  <c r="P130" i="11" s="1"/>
  <c r="H7" i="9"/>
  <c r="H8" i="9" s="1"/>
  <c r="C37" i="6"/>
  <c r="D37" i="6" s="1"/>
  <c r="O130" i="11"/>
  <c r="H11" i="9"/>
  <c r="H12" i="9" s="1"/>
  <c r="F6" i="9"/>
  <c r="C35" i="6" s="1"/>
  <c r="F7" i="9"/>
  <c r="D35" i="6" l="1"/>
  <c r="C36" i="6"/>
  <c r="D36" i="6" s="1"/>
  <c r="H6" i="9"/>
  <c r="J4" i="11"/>
  <c r="L4" i="11"/>
  <c r="E20" i="6"/>
</calcChain>
</file>

<file path=xl/sharedStrings.xml><?xml version="1.0" encoding="utf-8"?>
<sst xmlns="http://schemas.openxmlformats.org/spreadsheetml/2006/main" count="1274" uniqueCount="543">
  <si>
    <t>TCO Nissan Tiida — baseline atual para decisão de troca por EV</t>
  </si>
  <si>
    <t>Atualizado até</t>
  </si>
  <si>
    <t>Km/ano</t>
  </si>
  <si>
    <t>TCO central / mês</t>
  </si>
  <si>
    <t>TCO econômico / mês</t>
  </si>
  <si>
    <t>Componente</t>
  </si>
  <si>
    <t>R$/ano</t>
  </si>
  <si>
    <t>Combustível</t>
  </si>
  <si>
    <t>1. Histórico real — 12 meses móveis</t>
  </si>
  <si>
    <t>2. Baseline para frente — cenário CENTRAL</t>
  </si>
  <si>
    <t>Anual</t>
  </si>
  <si>
    <t>Mensal</t>
  </si>
  <si>
    <t>R$/km</t>
  </si>
  <si>
    <t>Lógica</t>
  </si>
  <si>
    <t>Seguro</t>
  </si>
  <si>
    <t>Combustível real</t>
  </si>
  <si>
    <t>Combustível otimizado</t>
  </si>
  <si>
    <t>Etanol: km/ano ÷ km/L × R$/L</t>
  </si>
  <si>
    <t>IPVA + lic.</t>
  </si>
  <si>
    <t>Serviços reais</t>
  </si>
  <si>
    <t>Manutenção central</t>
  </si>
  <si>
    <t>Histórico longo R$/km × uso atual</t>
  </si>
  <si>
    <t>Custo atual</t>
  </si>
  <si>
    <t>IPVA estimado</t>
  </si>
  <si>
    <t>IPVA</t>
  </si>
  <si>
    <t>Estimativa 2026</t>
  </si>
  <si>
    <t>Cenário</t>
  </si>
  <si>
    <t>TCO caixa/mês</t>
  </si>
  <si>
    <t>Licenciamento</t>
  </si>
  <si>
    <t>2026</t>
  </si>
  <si>
    <t>Otimista</t>
  </si>
  <si>
    <t>TCO histórico real</t>
  </si>
  <si>
    <t>TCO de caixa CENTRAL</t>
  </si>
  <si>
    <t>Base principal para comparar parcela</t>
  </si>
  <si>
    <t>Depreciação econômica</t>
  </si>
  <si>
    <t>3% a.a. sobre FIPE atual</t>
  </si>
  <si>
    <t>TCO econômico CENTRAL</t>
  </si>
  <si>
    <t>Caixa + depreciação</t>
  </si>
  <si>
    <t>3. Sensibilidade da manutenção e do TCO</t>
  </si>
  <si>
    <t>Manutenção/ano</t>
  </si>
  <si>
    <t>TCO caixa/ano</t>
  </si>
  <si>
    <t>TCO econômico/mês</t>
  </si>
  <si>
    <t>Uso</t>
  </si>
  <si>
    <t>Base</t>
  </si>
  <si>
    <t>Leitura</t>
  </si>
  <si>
    <t>Piso</t>
  </si>
  <si>
    <t>12m + corretivas/3</t>
  </si>
  <si>
    <t>Grandes corretivas recentes não se repetem cedo</t>
  </si>
  <si>
    <t>CENTRAL — histórico longo</t>
  </si>
  <si>
    <t>PRINCIPAL</t>
  </si>
  <si>
    <t>2021–2026</t>
  </si>
  <si>
    <t>Melhor caso-base para comparar EV</t>
  </si>
  <si>
    <t>Central+ — proxy externas</t>
  </si>
  <si>
    <t>Sensibilidade</t>
  </si>
  <si>
    <t>Histórico + proxy</t>
  </si>
  <si>
    <t>Inclui referência de peças externas da OS 11032</t>
  </si>
  <si>
    <t>Stress — sua posse recente</t>
  </si>
  <si>
    <t>Teto</t>
  </si>
  <si>
    <t>Jun/25–set/26</t>
  </si>
  <si>
    <t>Mantém o ritmo recente de envelhecimento</t>
  </si>
  <si>
    <t>Histórico real 12m</t>
  </si>
  <si>
    <t>Referência</t>
  </si>
  <si>
    <t>12m móveis</t>
  </si>
  <si>
    <t>Fluxo real recente, não forecast</t>
  </si>
  <si>
    <t>4. Manutenção — 12 meses móveis</t>
  </si>
  <si>
    <t>5. Combustível — premissas atuais</t>
  </si>
  <si>
    <t>Categoria</t>
  </si>
  <si>
    <t>Valor</t>
  </si>
  <si>
    <t>%</t>
  </si>
  <si>
    <t>Tratamento</t>
  </si>
  <si>
    <t>Métrica</t>
  </si>
  <si>
    <t>Unidade</t>
  </si>
  <si>
    <t>Preventiva / desgaste</t>
  </si>
  <si>
    <t>Recorrente / desgaste</t>
  </si>
  <si>
    <t>Etanol</t>
  </si>
  <si>
    <t>R$/L</t>
  </si>
  <si>
    <t>Preço mais recente</t>
  </si>
  <si>
    <t>Corretiva / recuperação</t>
  </si>
  <si>
    <t>Usada em sensibilidade</t>
  </si>
  <si>
    <t>Gasolina</t>
  </si>
  <si>
    <t>Incidente / carroceria</t>
  </si>
  <si>
    <t>Não recorrente</t>
  </si>
  <si>
    <t>Relação etanol/gasolina</t>
  </si>
  <si>
    <t>Ainda favorável ao etanol</t>
  </si>
  <si>
    <t>Total serviços</t>
  </si>
  <si>
    <t>Histórico real</t>
  </si>
  <si>
    <t>Consumo etanol</t>
  </si>
  <si>
    <t>km/L</t>
  </si>
  <si>
    <t>Referência histórica</t>
  </si>
  <si>
    <t>Custo projetado etanol</t>
  </si>
  <si>
    <t>Usado no TCO para frente</t>
  </si>
  <si>
    <t>Leitura para decisão: use R$ 2,304.55/mês como baseline de caixa do Tiida e R$ 2,397.16/mês como baseline econômica. O histórico real dos últimos 12 meses foi R$ 3,012.07/mês. No Comparador_EV, a economia operacional deve ser confrontada com parcela, seguro, impostos, energia, manutenção e depreciação do elétrico.</t>
  </si>
  <si>
    <t>Premissas e fontes — TCO Tiida</t>
  </si>
  <si>
    <t>Premissa</t>
  </si>
  <si>
    <t>Tipo</t>
  </si>
  <si>
    <t>Fonte / observação</t>
  </si>
  <si>
    <t>Odômetro inicial (13/09/2025)</t>
  </si>
  <si>
    <t>km</t>
  </si>
  <si>
    <t>Histórico</t>
  </si>
  <si>
    <t>Drivvo; leitura comparável de 12 meses</t>
  </si>
  <si>
    <t>Odômetro final (13/09/2026)</t>
  </si>
  <si>
    <t>Drivvo; último abastecimento disponível</t>
  </si>
  <si>
    <t>Dias entre leituras</t>
  </si>
  <si>
    <t>dias</t>
  </si>
  <si>
    <t>Cálculo</t>
  </si>
  <si>
    <t>Período exato de 12 meses</t>
  </si>
  <si>
    <t>Quilometragem anual</t>
  </si>
  <si>
    <t>km/ano</t>
  </si>
  <si>
    <t>Odômetro final - inicial</t>
  </si>
  <si>
    <t>Seguro mensal atual</t>
  </si>
  <si>
    <t>R$/mês</t>
  </si>
  <si>
    <t>Input usuário</t>
  </si>
  <si>
    <t>Valor informado pelo usuário</t>
  </si>
  <si>
    <t>Seguro anual atual</t>
  </si>
  <si>
    <t>Seguro mensal × 12</t>
  </si>
  <si>
    <t>FIPE Tiida SL manual — jan/2026</t>
  </si>
  <si>
    <t>R$</t>
  </si>
  <si>
    <t>Mantida da versão anterior do modelo</t>
  </si>
  <si>
    <t>FIPE Tiida SL manual — set/2026</t>
  </si>
  <si>
    <t>Alíquota IPVA SP — carro passeio</t>
  </si>
  <si>
    <t>IPVA anual estimado</t>
  </si>
  <si>
    <t>FIPE jan/2026 × alíquota; trocar pelo valor pago quando disponível</t>
  </si>
  <si>
    <t>Licenciamento SP 2026</t>
  </si>
  <si>
    <t>Mantido da versão anterior</t>
  </si>
  <si>
    <t>Etanol — preço atual usado</t>
  </si>
  <si>
    <t>Drivvo</t>
  </si>
  <si>
    <t>Último abastecimento: 13/09/2026</t>
  </si>
  <si>
    <t>Gasolina — preço atual usado</t>
  </si>
  <si>
    <t>Consumo etanol — referência</t>
  </si>
  <si>
    <t>Ciclos puros analisados; premissa mantida</t>
  </si>
  <si>
    <t>Consumo gasolina — referência</t>
  </si>
  <si>
    <t>Amortização das corretivas</t>
  </si>
  <si>
    <t>anos</t>
  </si>
  <si>
    <t>Premissa editável</t>
  </si>
  <si>
    <t>Usada somente no cenário otimista</t>
  </si>
  <si>
    <t>Depreciação anual Tiida</t>
  </si>
  <si>
    <t>% a.a.</t>
  </si>
  <si>
    <t>Cenário econômico; editar conforme hipótese</t>
  </si>
  <si>
    <t>Data-base do Drivvo</t>
  </si>
  <si>
    <t>data</t>
  </si>
  <si>
    <t>Último lançamento usado nesta atualização</t>
  </si>
  <si>
    <t>Histórico mensal — out/2025 a set/2026</t>
  </si>
  <si>
    <t>Setembro/2026 é parcial até 13/09. O Dashboard usa uma janela móvel exata de 12 meses para o histórico principal.</t>
  </si>
  <si>
    <t>Mês</t>
  </si>
  <si>
    <t>Serviços</t>
  </si>
  <si>
    <t>IPVA prov.</t>
  </si>
  <si>
    <t>Licenc. prov.</t>
  </si>
  <si>
    <t>TCO de caixa</t>
  </si>
  <si>
    <t>out/2025</t>
  </si>
  <si>
    <t>nov/2025</t>
  </si>
  <si>
    <t>dez/2025</t>
  </si>
  <si>
    <t>jan/2026</t>
  </si>
  <si>
    <t>fev/2026</t>
  </si>
  <si>
    <t>mar/2026</t>
  </si>
  <si>
    <t>abr/2026</t>
  </si>
  <si>
    <t>mai/2026</t>
  </si>
  <si>
    <t>jun/2026</t>
  </si>
  <si>
    <t>jul/2026</t>
  </si>
  <si>
    <t>ago/2026</t>
  </si>
  <si>
    <t>set/2026</t>
  </si>
  <si>
    <t>TOTAL DO PERÍODO EXIBIDO</t>
  </si>
  <si>
    <t>Serviços — 12 meses móveis até 13/09/2026</t>
  </si>
  <si>
    <t>Data</t>
  </si>
  <si>
    <t>Odômetro</t>
  </si>
  <si>
    <t>Serviço</t>
  </si>
  <si>
    <t>Categoria TCO</t>
  </si>
  <si>
    <t>Local</t>
  </si>
  <si>
    <t>Observação</t>
  </si>
  <si>
    <t>Evento</t>
  </si>
  <si>
    <t>Filtro de Ar</t>
  </si>
  <si>
    <t>HML Motors</t>
  </si>
  <si>
    <t>01/10/2025 • 206.212 km</t>
  </si>
  <si>
    <t>Filtro de Combustível</t>
  </si>
  <si>
    <t>Filtro de cabine</t>
  </si>
  <si>
    <t>Filtro de Óleo</t>
  </si>
  <si>
    <t>Mão de obra</t>
  </si>
  <si>
    <t>Troca de Óleo</t>
  </si>
  <si>
    <t>Alinhamento de roda</t>
  </si>
  <si>
    <t>Aguiar Pneus</t>
  </si>
  <si>
    <t>13/10/2025 • 207.152 km</t>
  </si>
  <si>
    <t>Bucha do eixo traseiro</t>
  </si>
  <si>
    <t>W12 Car Service</t>
  </si>
  <si>
    <t>30/10/2025 • 208.315 km</t>
  </si>
  <si>
    <t>Coxim Hidráulico do Motor</t>
  </si>
  <si>
    <t>Coxim inferior do motor</t>
  </si>
  <si>
    <t>Kit coxim do amortecedor dianteiro</t>
  </si>
  <si>
    <t>Limpeza dos drenos do teto solar</t>
  </si>
  <si>
    <t>Amortecedor dianteiro</t>
  </si>
  <si>
    <t>Losspacer</t>
  </si>
  <si>
    <t>03/03/2026 • 215.846 km</t>
  </si>
  <si>
    <t>Amortecedor traseiro</t>
  </si>
  <si>
    <t>Bandeja com pivô</t>
  </si>
  <si>
    <t>Bieleta</t>
  </si>
  <si>
    <t>Borracha estabilizadora - Mancais</t>
  </si>
  <si>
    <t>Kit coxim do amertecedor traseiro</t>
  </si>
  <si>
    <t>Limpa radiador</t>
  </si>
  <si>
    <t>Líquido de arrefecimento</t>
  </si>
  <si>
    <t>Pneus - Alinhamento/Balanceamento</t>
  </si>
  <si>
    <t>Radiador</t>
  </si>
  <si>
    <t>Água desmineralizada</t>
  </si>
  <si>
    <t>Óleo 5W30</t>
  </si>
  <si>
    <t>Reset via Scanner</t>
  </si>
  <si>
    <t>12/05/2026 • 219.458 km</t>
  </si>
  <si>
    <t>Descarbonização da câmara de combustão</t>
  </si>
  <si>
    <t>03/06/2026 • 220.582 km</t>
  </si>
  <si>
    <t>Pastilha de Freio</t>
  </si>
  <si>
    <t>Retífica do disco de freio</t>
  </si>
  <si>
    <t>Troca da pastilha de freio</t>
  </si>
  <si>
    <t>Troca do líquido de arrefecimento</t>
  </si>
  <si>
    <t>Abraçadeira</t>
  </si>
  <si>
    <t>16/06/2026 • 221.241 km</t>
  </si>
  <si>
    <t>Cubo de roda dianteiro</t>
  </si>
  <si>
    <t>Junta da tampa de válvulas</t>
  </si>
  <si>
    <t>Mangueira da válvula PCV</t>
  </si>
  <si>
    <t>Mangueira superior do radiador</t>
  </si>
  <si>
    <t>Teste de vazamento do arrefecimento</t>
  </si>
  <si>
    <t>Arruela do bujão</t>
  </si>
  <si>
    <t>01/07/2026 • 221.817 km</t>
  </si>
  <si>
    <t>Limpeza da condensadora</t>
  </si>
  <si>
    <t>Troca do óleo do câmbio</t>
  </si>
  <si>
    <t>Óleo do câmbio</t>
  </si>
  <si>
    <t>Para-barro dianteiro direito</t>
  </si>
  <si>
    <t>AEV Funilaria e Pintura - São Caetano do Sul, ABC</t>
  </si>
  <si>
    <t>03/07/2026 • 221.917 km</t>
  </si>
  <si>
    <t>Bateria</t>
  </si>
  <si>
    <t>Baterias Automotivas Colmeia</t>
  </si>
  <si>
    <t>19/07/2026 • 222.470 km</t>
  </si>
  <si>
    <t>Braço Axial</t>
  </si>
  <si>
    <t>Auto Posto Fevereiro Ltda</t>
  </si>
  <si>
    <t>Troca de óleo 225000km</t>
  </si>
  <si>
    <t>13/09/2026 • 226.295 km</t>
  </si>
  <si>
    <t>Coifa homocinetica direita</t>
  </si>
  <si>
    <t>Filtro Inflow</t>
  </si>
  <si>
    <t>Abastecimentos — 12 meses móveis até 13/09/2026</t>
  </si>
  <si>
    <t>Preço/L</t>
  </si>
  <si>
    <t>Volume</t>
  </si>
  <si>
    <t>Tanque cheio</t>
  </si>
  <si>
    <t>Média registrada</t>
  </si>
  <si>
    <t>Posto</t>
  </si>
  <si>
    <t>Atualização</t>
  </si>
  <si>
    <t>Gas. Comum</t>
  </si>
  <si>
    <t>Sim</t>
  </si>
  <si>
    <t>Auto Posto Vergueirão(3 postos)</t>
  </si>
  <si>
    <t>O registro de 10/08/2026 está agora corretamente classificado como Etanol no novo Drivvo.</t>
  </si>
  <si>
    <t>Preço mais recente: etanol R$ 3.89/L; gasolina R$ 6.29/L.</t>
  </si>
  <si>
    <t>Relação de preços atual: 61.8%.</t>
  </si>
  <si>
    <t>Não</t>
  </si>
  <si>
    <t>Ipiranga na saída de Santos</t>
  </si>
  <si>
    <t>Shell 4 pistas - Santos</t>
  </si>
  <si>
    <t>Shell Paulicéia</t>
  </si>
  <si>
    <t>AVATAR AUTO POSTO LTDA</t>
  </si>
  <si>
    <t>Gas. Premium</t>
  </si>
  <si>
    <t>Auto Posto Ruda Ltda.</t>
  </si>
  <si>
    <t>Centro Automotivo Hunter Ltda</t>
  </si>
  <si>
    <t>Petrobras</t>
  </si>
  <si>
    <t>Comparador EV — compra, financiamento e custo real da troca</t>
  </si>
  <si>
    <t>Preencha as células amarelas. O número-chave é a PARCELA LÍQUIDA DA TROCA: financiamento + operação do EV − TCO de caixa do Tiida.</t>
  </si>
  <si>
    <t>1. COMPRA DO ELÉTRICO</t>
  </si>
  <si>
    <t>2. CONDIÇÕES DO FINANCIAMENTO</t>
  </si>
  <si>
    <t>3. CUSTO OPERACIONAL DO EV</t>
  </si>
  <si>
    <t>Modelo / versão do EV</t>
  </si>
  <si>
    <t>Identificação do cenário</t>
  </si>
  <si>
    <t>Taxa de juros</t>
  </si>
  <si>
    <t>% a.m.</t>
  </si>
  <si>
    <t>Taxa mensal da proposta</t>
  </si>
  <si>
    <t>Consumo elétrico</t>
  </si>
  <si>
    <t>kWh/100 km</t>
  </si>
  <si>
    <t>Real ou homologado ajustado</t>
  </si>
  <si>
    <t>Preço do EV</t>
  </si>
  <si>
    <t>Preço efetivo negociado</t>
  </si>
  <si>
    <t>Prazo original</t>
  </si>
  <si>
    <t>meses</t>
  </si>
  <si>
    <t>Prazo contratado</t>
  </si>
  <si>
    <t>Tarifa elétrica</t>
  </si>
  <si>
    <t>R$/kWh</t>
  </si>
  <si>
    <t>Tarifa efetiva de recarga</t>
  </si>
  <si>
    <t>FIPE atual do Tiida</t>
  </si>
  <si>
    <t>Referência automática</t>
  </si>
  <si>
    <t>Data da 1ª parcela</t>
  </si>
  <si>
    <t>Atualize para cada proposta</t>
  </si>
  <si>
    <t>Perdas de recarga</t>
  </si>
  <si>
    <t>Wall-to-battery</t>
  </si>
  <si>
    <t>Valor líquido do Tiida na troca</t>
  </si>
  <si>
    <t>Edite pelo valor real da proposta</t>
  </si>
  <si>
    <t>Correção monetária</t>
  </si>
  <si>
    <t>Mantida da sua calculadora</t>
  </si>
  <si>
    <t>Energia anual</t>
  </si>
  <si>
    <t>Automático</t>
  </si>
  <si>
    <t>Entrada adicional em dinheiro</t>
  </si>
  <si>
    <t>Além do Tiida</t>
  </si>
  <si>
    <t>Aporte extra padrão</t>
  </si>
  <si>
    <t>Amortização extra planejada</t>
  </si>
  <si>
    <t>Seguro EV</t>
  </si>
  <si>
    <t>Cotação real</t>
  </si>
  <si>
    <t>Custos incorporados ao financiamento</t>
  </si>
  <si>
    <t>Taxas/acessórios financiados</t>
  </si>
  <si>
    <t>Início do aporte</t>
  </si>
  <si>
    <t>mês</t>
  </si>
  <si>
    <t>1 = primeira parcela</t>
  </si>
  <si>
    <t>IPVA EV</t>
  </si>
  <si>
    <t>Use 0 se aplicável</t>
  </si>
  <si>
    <t>Valor a financiar calculado</t>
  </si>
  <si>
    <t>Preço - Tiida - entrada + custos</t>
  </si>
  <si>
    <t>Reinvestir redução da parcela?</t>
  </si>
  <si>
    <t>Sim / Não</t>
  </si>
  <si>
    <t>Mantém o esforço financeiro mais alto</t>
  </si>
  <si>
    <t>Base atual</t>
  </si>
  <si>
    <t>Valor financiado manual (opcional)</t>
  </si>
  <si>
    <t>Usado enquanto o preço do EV estiver vazio</t>
  </si>
  <si>
    <t>Estratégia ativa</t>
  </si>
  <si>
    <t>Manutenção EV</t>
  </si>
  <si>
    <t>Revisões + pneus + consumíveis</t>
  </si>
  <si>
    <t>VALOR FINANCIADO USADO</t>
  </si>
  <si>
    <t>Base efetiva do simulador</t>
  </si>
  <si>
    <t>Orçamento financeiro após aporte</t>
  </si>
  <si>
    <t>Parcela inicial + aporte padrão</t>
  </si>
  <si>
    <t>Depreciação EV</t>
  </si>
  <si>
    <t>Premissa econômica</t>
  </si>
  <si>
    <t>Depreciação anual</t>
  </si>
  <si>
    <t>TCO caixa EV</t>
  </si>
  <si>
    <t>Sem financiamento</t>
  </si>
  <si>
    <t>TCO econômico EV</t>
  </si>
  <si>
    <t>4. O QUE A TROCA SIGNIFICA NO SEU BOLSO</t>
  </si>
  <si>
    <t>PAGAMENTO DO FINANCIAMENTO — MÊS 1</t>
  </si>
  <si>
    <t>ECONOMIA OPERACIONAL VS TIIDA / MÊS</t>
  </si>
  <si>
    <t>PARCELA FINAL — CUSTO LÍQUIDO DA TROCA / MÊS 1</t>
  </si>
  <si>
    <t>MÉDIA LÍQUIDA ATÉ A QUITAÇÃO</t>
  </si>
  <si>
    <t>DEPOIS DA QUITAÇÃO / MÊS</t>
  </si>
  <si>
    <t>QUITAÇÃO ESTIMADA</t>
  </si>
  <si>
    <t>5. TRÊS ESTRATÉGIAS DE FINANCIAMENTO</t>
  </si>
  <si>
    <t>BASELINE — SEM AMORTIZAÇÃO</t>
  </si>
  <si>
    <t>AMORTIZAÇÃO NORMAL</t>
  </si>
  <si>
    <t>POTENCIALIZADA</t>
  </si>
  <si>
    <t>Prazo efetivo</t>
  </si>
  <si>
    <t>Quitação</t>
  </si>
  <si>
    <t>Juros totais</t>
  </si>
  <si>
    <t>Total pago</t>
  </si>
  <si>
    <t>Economia de juros</t>
  </si>
  <si>
    <t>Meses antecipados</t>
  </si>
  <si>
    <t>6. TCO E LEITURA ECONÔMICA</t>
  </si>
  <si>
    <t>Tiida</t>
  </si>
  <si>
    <t>EV</t>
  </si>
  <si>
    <t>Delta EV - Tiida</t>
  </si>
  <si>
    <t>TCO de caixa / mês</t>
  </si>
  <si>
    <t>Juros médios / mês no financiamento</t>
  </si>
  <si>
    <t>Custo econômico EV + juros médios</t>
  </si>
  <si>
    <t>Total de juros do cenário ativo</t>
  </si>
  <si>
    <t>Parcela líquida = pagamento do financiamento + custo operacional do EV − TCO mensal do Tiida. Positivo é dinheiro novo por mês; negativo é economia.</t>
  </si>
  <si>
    <t>Histórico de manutenção do Tiida — 2021 a 2026</t>
  </si>
  <si>
    <t>Ano</t>
  </si>
  <si>
    <t>OS / evento</t>
  </si>
  <si>
    <t>Valor registrado</t>
  </si>
  <si>
    <t>Período</t>
  </si>
  <si>
    <t>Fonte</t>
  </si>
  <si>
    <t>Resumo anual registrado</t>
  </si>
  <si>
    <t>OS #5843</t>
  </si>
  <si>
    <t>Pré-compra</t>
  </si>
  <si>
    <t>11.2021 - ordem_servico_5843.pdf</t>
  </si>
  <si>
    <t>Falha de ignição / bobinas.</t>
  </si>
  <si>
    <t>Sua posse</t>
  </si>
  <si>
    <t>Total registrado</t>
  </si>
  <si>
    <t>OS #6535</t>
  </si>
  <si>
    <t>04.2022 - ordem_servico_6535.pdf</t>
  </si>
  <si>
    <t>Revisão, arrefecimento, coxim, buchas e freios.</t>
  </si>
  <si>
    <t>Parcial</t>
  </si>
  <si>
    <t>OS #8301</t>
  </si>
  <si>
    <t>03.2023 - ordem_servico_8301.pdf</t>
  </si>
  <si>
    <t>Revisão, óleo de câmbio e freios dianteiros.</t>
  </si>
  <si>
    <t>OS #9418</t>
  </si>
  <si>
    <t>09.2023 - Ordem de Serviço #9418.pdf</t>
  </si>
  <si>
    <t>Troca de óleo e filtros.</t>
  </si>
  <si>
    <t>OS #11032</t>
  </si>
  <si>
    <t>06.2024 - Ordem de Serviço #11032.pdf</t>
  </si>
  <si>
    <t>Grande revisão; a OS não inclui peças fornecidas externamente.</t>
  </si>
  <si>
    <t>OS #11813</t>
  </si>
  <si>
    <t>10.2024 - ordem_servico_11813.pdf</t>
  </si>
  <si>
    <t>Ignição/injeção e freios traseiros.</t>
  </si>
  <si>
    <t>OS #11913</t>
  </si>
  <si>
    <t>10.2024 - ordem_servico_11913.pdf</t>
  </si>
  <si>
    <t>Bomba de combustível / tanque.</t>
  </si>
  <si>
    <t>Parcial até 13/09</t>
  </si>
  <si>
    <t>OS #12928</t>
  </si>
  <si>
    <t>05.2025 - ordem_servico_12928.pdf</t>
  </si>
  <si>
    <t>Revisão, junta da tampa, coxins e freios.</t>
  </si>
  <si>
    <t>OS #13052</t>
  </si>
  <si>
    <t>05.2025 - ordem_servico_13052.pdf</t>
  </si>
  <si>
    <t>Tensor da correia de acessórios.</t>
  </si>
  <si>
    <t>Métricas e cenários</t>
  </si>
  <si>
    <t>OS #13064</t>
  </si>
  <si>
    <t>05.2025 - ordem_servico_13064.pdf</t>
  </si>
  <si>
    <t>Velas e bobina de ignição.</t>
  </si>
  <si>
    <t>Nota</t>
  </si>
  <si>
    <t>Drivvo 04/06</t>
  </si>
  <si>
    <t>Drivvo CSV</t>
  </si>
  <si>
    <t>Freios / retífica e mão de obra.</t>
  </si>
  <si>
    <t>Manutenção pré-compra registrada</t>
  </si>
  <si>
    <t>10 OS recebidas</t>
  </si>
  <si>
    <t>Drivvo 21/06</t>
  </si>
  <si>
    <t>Cubo de roda traseiro + mão de obra.</t>
  </si>
  <si>
    <t>Manutenção na sua posse</t>
  </si>
  <si>
    <t>Drivvo jun/2025–13/09/2026</t>
  </si>
  <si>
    <t>Drivvo 25/08</t>
  </si>
  <si>
    <t>Freio traseiro / arrefecimento.</t>
  </si>
  <si>
    <t>Manutenção total registrada</t>
  </si>
  <si>
    <t>Não corrigida por inflação</t>
  </si>
  <si>
    <t>Drivvo 01/10</t>
  </si>
  <si>
    <t>Óleo, filtros e mão de obra.</t>
  </si>
  <si>
    <t>Quilometragem coberta</t>
  </si>
  <si>
    <t>137.762 → 226.295 km</t>
  </si>
  <si>
    <t>Drivvo 13/10</t>
  </si>
  <si>
    <t>Alinhamento.</t>
  </si>
  <si>
    <t>Custo registrado por km</t>
  </si>
  <si>
    <t>Baseline central</t>
  </si>
  <si>
    <t>Piso provável: há custos externos não comprovados</t>
  </si>
  <si>
    <t>Drivvo 30/10</t>
  </si>
  <si>
    <t>Buchas, coxins e kit do amortecedor dianteiro.</t>
  </si>
  <si>
    <t>Manutenção anual — otimista</t>
  </si>
  <si>
    <t>Preventiva 12m + corretivas/3</t>
  </si>
  <si>
    <t>Drivvo 03/03</t>
  </si>
  <si>
    <t>Grande corretiva: suspensão, radiador, fluidos e mão de obra.</t>
  </si>
  <si>
    <t>Manutenção anual — CENTRAL</t>
  </si>
  <si>
    <t>Principal</t>
  </si>
  <si>
    <t>Histórico longo por km × uso atual</t>
  </si>
  <si>
    <t>Drivvo 12/05</t>
  </si>
  <si>
    <t>Reset via scanner.</t>
  </si>
  <si>
    <t>Manutenção anual — central+</t>
  </si>
  <si>
    <t>Inclui proxy das peças externas da OS 11032</t>
  </si>
  <si>
    <t>Drivvo 03/06</t>
  </si>
  <si>
    <t>Revisão, freios, óleo e arrefecimento.</t>
  </si>
  <si>
    <t>Manutenção anual — stress</t>
  </si>
  <si>
    <t>R$/km da sua posse recente</t>
  </si>
  <si>
    <t>Drivvo 16/06</t>
  </si>
  <si>
    <t>Cubos, mangueiras, junta e mão de obra.</t>
  </si>
  <si>
    <t>Proxy peças externas OS 11032</t>
  </si>
  <si>
    <t>R$ referência</t>
  </si>
  <si>
    <t>Não é gasto real comprovado</t>
  </si>
  <si>
    <t>Drivvo 01/07</t>
  </si>
  <si>
    <t>Óleo do câmbio e limpeza.</t>
  </si>
  <si>
    <t>Serviços reais — 12m móveis</t>
  </si>
  <si>
    <t>14/09/2025–13/09/2026</t>
  </si>
  <si>
    <t>Drivvo 03/07</t>
  </si>
  <si>
    <t>Para-barro / carroceria; incidente.</t>
  </si>
  <si>
    <t>Drivvo 19/07</t>
  </si>
  <si>
    <t>Bateria Bosch.</t>
  </si>
  <si>
    <t>Leitura: o cenário CENTRAL continua sendo o caso-base para comparar um EV. Ele foi atualizado com a revisão de 13/09/2026 e com a rodagem anual atual de 21.438 km. O cenário otimista assume menor repetição de grandes corretivas; o stress mantém o ritmo recente.</t>
  </si>
  <si>
    <t>Drivvo 13/09</t>
  </si>
  <si>
    <t>Revisão 225 mil km: óleo, filtros, braço axial, coifa e mão de obra.</t>
  </si>
  <si>
    <t>Handoff — baseline do Tiida para comparar carros elétricos</t>
  </si>
  <si>
    <t>Use o cenário CENTRAL como caso-base. Mantenha otimista e stress como sensibilidade. Compare separadamente fluxo de caixa mensal e custo econômico.</t>
  </si>
  <si>
    <t>Baseline atual</t>
  </si>
  <si>
    <t>Status</t>
  </si>
  <si>
    <t>Como usar</t>
  </si>
  <si>
    <t>Data-base</t>
  </si>
  <si>
    <t>Atual</t>
  </si>
  <si>
    <t>Referência temporal</t>
  </si>
  <si>
    <t>Último lançamento Drivvo</t>
  </si>
  <si>
    <t>Rodagem anual</t>
  </si>
  <si>
    <t>Mesma rodagem no EV</t>
  </si>
  <si>
    <t>13/09/25 → 13/09/26</t>
  </si>
  <si>
    <t>Custo do Tiida para frente</t>
  </si>
  <si>
    <t>Comparar com cotação EV</t>
  </si>
  <si>
    <t>R$ 293,02/mês</t>
  </si>
  <si>
    <t>Estimativa</t>
  </si>
  <si>
    <t>Comparar com EV</t>
  </si>
  <si>
    <t>Trocar pelo pago quando disponível</t>
  </si>
  <si>
    <t>Comparar</t>
  </si>
  <si>
    <t>Manutenção otimista</t>
  </si>
  <si>
    <t>Manutenção CENTRAL</t>
  </si>
  <si>
    <t>Caso-base</t>
  </si>
  <si>
    <t>Histórico longo por km</t>
  </si>
  <si>
    <t>Manutenção stress</t>
  </si>
  <si>
    <t>Ritmo recente</t>
  </si>
  <si>
    <t>TCO caixa CENTRAL</t>
  </si>
  <si>
    <t>Base contra EV</t>
  </si>
  <si>
    <t>TCO caixa CENTRAL / mês</t>
  </si>
  <si>
    <t>Base contra parcela</t>
  </si>
  <si>
    <t>TCO econômico CENTRAL / mês</t>
  </si>
  <si>
    <t>Base econômica</t>
  </si>
  <si>
    <t>Inclui depreciação</t>
  </si>
  <si>
    <t>Texto pronto para copiar para o chat de comparação</t>
  </si>
  <si>
    <t>Baseline atualizada do meu Nissan Tiida SL 1.8 manual 2011/2012: rodo cerca de 21,438 km/ano. Para frente, considere etanol a R$ 3.89/L, consumo de referência de 7.68 km/L e combustível projetado de ~R$ 10,859/ano. Seguro: R$ 3,516/ano; IPVA estimado: R$ 1,405/ano; licenciamento: R$ 174/ano. O histórico de manutenção agora soma R$ 48,321 registrados entre 137.762 e 226.295 km (~R$ 0.546/km). A manutenção anual central é ~R$ 11,701; cenário otimista ~R$ 8,739; stress ~R$ 15,296. O TCO de caixa CENTRAL do Tiida é ~R$ 27,655/ano ou R$ 2,305/mês; o TCO econômico, incluindo depreciação de 3% a.a., é ~R$ 2,397/mês. Para cada EV, compare energia, manutenção, seguro, IPVA/licenciamento, depreciação, preço, entrada, CET e parcela. Quero ver (1) delta mensal de caixa incluindo parcela; (2) economia operacional antes da parcela; e (3) delta econômico anual, tratando juros/CET e depreciação como custo econômico.</t>
  </si>
  <si>
    <t>Modelo integrado: use Comparador_EV como cockpit. Financiamento_EV detalha a amortização do cenário ativo; Cenarios_Fin compara as três estratégias; Fluxo_EV mostra a parcela líquida mês a mês.</t>
  </si>
  <si>
    <t>Financiamento EV — amortização detalhada do cenário ativo</t>
  </si>
  <si>
    <t>Premissas em verde vêm do Comparador_EV. A coluna amarela 'Extra manual' substitui o aporte padrão em meses específicos. O modelo recalcula a parcela para o prazo remanescente após amortizações.</t>
  </si>
  <si>
    <t>PREMISSAS VINCULADAS</t>
  </si>
  <si>
    <t>RESUMO DO CENÁRIO ATIVO</t>
  </si>
  <si>
    <t>Valor financiado</t>
  </si>
  <si>
    <t>Parcela contratual inicial</t>
  </si>
  <si>
    <t>Orçamento após aporte</t>
  </si>
  <si>
    <t>Taxa de juros a.m.</t>
  </si>
  <si>
    <t>Prazo original (meses)</t>
  </si>
  <si>
    <t>Quitação estimada</t>
  </si>
  <si>
    <t>Economia de juros (%)</t>
  </si>
  <si>
    <t>Correção monetária a.m.</t>
  </si>
  <si>
    <t>Aporte novo efetivo</t>
  </si>
  <si>
    <t>Início do aporte (mês)</t>
  </si>
  <si>
    <t>Reinvestimento</t>
  </si>
  <si>
    <t>Parcela contratual final</t>
  </si>
  <si>
    <t>Amortização extra total</t>
  </si>
  <si>
    <t>Redução da parcela final</t>
  </si>
  <si>
    <t>CRONOGRAMA DO CENÁRIO ATIVO</t>
  </si>
  <si>
    <t>Saldo inicial</t>
  </si>
  <si>
    <t>Correção</t>
  </si>
  <si>
    <t>Saldo corrigido</t>
  </si>
  <si>
    <t>Juros</t>
  </si>
  <si>
    <t>Parcela contratual</t>
  </si>
  <si>
    <t>Amortização da parcela</t>
  </si>
  <si>
    <t>Extra manual</t>
  </si>
  <si>
    <t>Aporte base</t>
  </si>
  <si>
    <t>Aporte base efetivo</t>
  </si>
  <si>
    <t>Reinvest. efetivo</t>
  </si>
  <si>
    <t>Pagamento total</t>
  </si>
  <si>
    <t>Saldo final</t>
  </si>
  <si>
    <t>Juros acumulados</t>
  </si>
  <si>
    <t>Extras acumulados</t>
  </si>
  <si>
    <t>Financiamento — comparação de estratégias de amortização</t>
  </si>
  <si>
    <t>Baseline = sem amortização. Normal = aporte fixo. Potencializada = aporte fixo + reinvestimento da redução da parcela.</t>
  </si>
  <si>
    <t>Extra total</t>
  </si>
  <si>
    <t>Parcela</t>
  </si>
  <si>
    <t>Amort.</t>
  </si>
  <si>
    <t>Pagamento</t>
  </si>
  <si>
    <t>Aporte</t>
  </si>
  <si>
    <t>Reinvest.</t>
  </si>
  <si>
    <t>Baseline</t>
  </si>
  <si>
    <t>Normal</t>
  </si>
  <si>
    <t>Potencializada</t>
  </si>
  <si>
    <t>Fluxo mensal — quanto o carro elétrico realmente acrescenta ao seu caixa</t>
  </si>
  <si>
    <t>A parcela líquida da troca é o desembolso mensal do EV (financiamento + operação) menos o TCO de caixa do Tiida. Positivo = gasto adicional; negativo = economia.</t>
  </si>
  <si>
    <t>Mês 1</t>
  </si>
  <si>
    <t>Média até quitação</t>
  </si>
  <si>
    <t>Depois da quitação</t>
  </si>
  <si>
    <t>Acumulado até quitação</t>
  </si>
  <si>
    <t>PREVISÃO MENSAL</t>
  </si>
  <si>
    <t>Pagamento financiamento</t>
  </si>
  <si>
    <t>Energia EV</t>
  </si>
  <si>
    <t>TCO operacional EV</t>
  </si>
  <si>
    <t>Desembolso total EV</t>
  </si>
  <si>
    <t>TCO Tiida</t>
  </si>
  <si>
    <t>PARCELA LÍQUIDA DA TROCA</t>
  </si>
  <si>
    <t>Saldo devedor</t>
  </si>
  <si>
    <t>Delta acumulado</t>
  </si>
  <si>
    <t>Desembolso EV</t>
  </si>
  <si>
    <t>Parcela líquida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</si>
</sst>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;[Red]\(0.0%\);\-"/>
    <numFmt numFmtId="165" formatCode="#,##0;[Red]\(#,##0\);\-"/>
    <numFmt numFmtId="166" formatCode="\R\$\ #,##0.00;[Red]\(\R\$\ #,##0.00\);\-"/>
    <numFmt numFmtId="167" formatCode="0.000"/>
    <numFmt numFmtId="168" formatCode="#,##0\ &quot;km&quot;;[Red]\(#,##0\ &quot;km&quot;\);\-"/>
    <numFmt numFmtId="169" formatCode="0.00%;[Red]\(0.00%\);\-"/>
    <numFmt numFmtId="170" formatCode="mmm/yyyy"/>
  </numFmts>
  <fonts count="1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color rgb="FF0000FF"/>
      <name val="Carlito"/>
    </font>
    <font>
      <sz val="11"/>
      <color rgb="FF000000"/>
      <name val="Carlito"/>
    </font>
    <font>
      <b/>
      <sz val="11"/>
      <name val="Carlito"/>
    </font>
    <font>
      <sz val="11"/>
      <color rgb="FF008000"/>
      <name val="Carlito"/>
    </font>
    <font>
      <b/>
      <sz val="11"/>
      <color rgb="FF000000"/>
      <name val="Carlito"/>
    </font>
    <font>
      <b/>
      <sz val="11"/>
      <color rgb="FF234F3E"/>
      <name val="Carlito"/>
    </font>
    <font>
      <b/>
      <sz val="11"/>
      <color rgb="FF0000FF"/>
      <name val="Carlito"/>
    </font>
    <font>
      <b/>
      <sz val="9"/>
      <color rgb="FF5D6D7E"/>
      <name val="Carlito"/>
    </font>
    <font>
      <b/>
      <sz val="17"/>
      <name val="Carlito"/>
    </font>
    <font>
      <b/>
      <sz val="17"/>
      <color rgb="FF000000"/>
      <name val="Carlito"/>
    </font>
    <font>
      <b/>
      <sz val="11"/>
      <color rgb="FF0B1F33"/>
      <name val="Carlito"/>
    </font>
  </fonts>
  <fills count="26">
    <fill>
      <patternFill patternType="none"/>
    </fill>
    <fill>
      <patternFill patternType="gray125"/>
    </fill>
    <fill>
      <patternFill patternType="solid">
        <fgColor rgb="FF153A5B"/>
      </patternFill>
    </fill>
    <fill>
      <patternFill patternType="solid">
        <fgColor rgb="FFFFF4CC"/>
      </patternFill>
    </fill>
    <fill>
      <patternFill patternType="solid">
        <fgColor rgb="FFEAF2F8"/>
      </patternFill>
    </fill>
    <fill>
      <patternFill patternType="solid">
        <fgColor rgb="FFF4F6F7"/>
      </patternFill>
    </fill>
    <fill>
      <patternFill patternType="solid">
        <fgColor rgb="FFE8F5E9"/>
      </patternFill>
    </fill>
    <fill>
      <patternFill patternType="solid">
        <fgColor rgb="FF153A5B"/>
      </patternFill>
    </fill>
    <fill>
      <patternFill patternType="solid">
        <fgColor rgb="FFF4F6F7"/>
      </patternFill>
    </fill>
    <fill>
      <patternFill patternType="solid">
        <fgColor rgb="FFFFF4CC"/>
      </patternFill>
    </fill>
    <fill>
      <patternFill patternType="solid">
        <fgColor rgb="FFE8F5E9"/>
      </patternFill>
    </fill>
    <fill>
      <patternFill patternType="solid">
        <fgColor rgb="FF0B1F33"/>
      </patternFill>
    </fill>
    <fill>
      <patternFill patternType="solid">
        <fgColor rgb="FF153A5B"/>
      </patternFill>
    </fill>
    <fill>
      <patternFill patternType="solid">
        <fgColor rgb="FFFFF4CC"/>
      </patternFill>
    </fill>
    <fill>
      <patternFill patternType="solid">
        <fgColor rgb="FFEAF2F8"/>
      </patternFill>
    </fill>
    <fill>
      <patternFill patternType="solid">
        <fgColor rgb="FFF4F6F7"/>
      </patternFill>
    </fill>
    <fill>
      <patternFill patternType="solid">
        <fgColor rgb="FFE8F5E9"/>
      </patternFill>
    </fill>
    <fill>
      <patternFill patternType="solid">
        <fgColor rgb="FF0B1F33"/>
      </patternFill>
    </fill>
    <fill>
      <patternFill patternType="solid">
        <fgColor rgb="FFE8F5E9"/>
      </patternFill>
    </fill>
    <fill>
      <patternFill patternType="solid">
        <fgColor rgb="FF153A5B"/>
      </patternFill>
    </fill>
    <fill>
      <patternFill patternType="solid">
        <fgColor rgb="FFFFF4CC"/>
      </patternFill>
    </fill>
    <fill>
      <patternFill patternType="solid">
        <fgColor rgb="FFEAF2F8"/>
      </patternFill>
    </fill>
    <fill>
      <patternFill patternType="solid">
        <fgColor rgb="FF1F6B5C"/>
      </patternFill>
    </fill>
    <fill>
      <patternFill patternType="solid">
        <fgColor rgb="FFF4F6F7"/>
      </patternFill>
    </fill>
    <fill>
      <patternFill patternType="solid">
        <fgColor rgb="FFDCEAF5"/>
      </patternFill>
    </fill>
    <fill>
      <patternFill patternType="solid">
        <fgColor theme="9" tint="-0.249977111117893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1">
    <xf numFmtId="0" fontId="0" fillId="0" borderId="0" xfId="0"/>
    <xf numFmtId="0" fontId="2" fillId="2" borderId="0" xfId="0" applyFont="1" applyFill="1"/>
    <xf numFmtId="0" fontId="0" fillId="0" borderId="0" xfId="0" applyAlignment="1">
      <alignment wrapText="1"/>
    </xf>
    <xf numFmtId="165" fontId="3" fillId="0" borderId="0" xfId="0" applyNumberFormat="1" applyFont="1" applyAlignment="1">
      <alignment wrapText="1"/>
    </xf>
    <xf numFmtId="165" fontId="4" fillId="0" borderId="0" xfId="0" applyNumberFormat="1" applyFont="1" applyAlignment="1">
      <alignment wrapText="1"/>
    </xf>
    <xf numFmtId="166" fontId="3" fillId="0" borderId="0" xfId="0" applyNumberFormat="1" applyFont="1" applyAlignment="1">
      <alignment wrapText="1"/>
    </xf>
    <xf numFmtId="166" fontId="4" fillId="0" borderId="0" xfId="0" applyNumberFormat="1" applyFont="1" applyAlignment="1">
      <alignment wrapText="1"/>
    </xf>
    <xf numFmtId="2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  <xf numFmtId="0" fontId="0" fillId="0" borderId="1" xfId="0" applyBorder="1" applyAlignment="1">
      <alignment wrapText="1"/>
    </xf>
    <xf numFmtId="166" fontId="0" fillId="0" borderId="0" xfId="0" applyNumberFormat="1"/>
    <xf numFmtId="0" fontId="5" fillId="4" borderId="0" xfId="0" applyFont="1" applyFill="1"/>
    <xf numFmtId="166" fontId="5" fillId="4" borderId="0" xfId="0" applyNumberFormat="1" applyFont="1" applyFill="1"/>
    <xf numFmtId="14" fontId="0" fillId="0" borderId="0" xfId="0" applyNumberFormat="1"/>
    <xf numFmtId="0" fontId="2" fillId="2" borderId="0" xfId="0" applyFont="1" applyFill="1" applyAlignment="1">
      <alignment wrapText="1"/>
    </xf>
    <xf numFmtId="14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0" fontId="0" fillId="3" borderId="0" xfId="0" applyFill="1"/>
    <xf numFmtId="0" fontId="5" fillId="5" borderId="0" xfId="0" applyFont="1" applyFill="1"/>
    <xf numFmtId="164" fontId="0" fillId="0" borderId="0" xfId="0" applyNumberFormat="1"/>
    <xf numFmtId="166" fontId="0" fillId="6" borderId="0" xfId="0" applyNumberFormat="1" applyFill="1"/>
    <xf numFmtId="166" fontId="0" fillId="3" borderId="0" xfId="0" applyNumberFormat="1" applyFill="1"/>
    <xf numFmtId="165" fontId="0" fillId="0" borderId="0" xfId="0" applyNumberFormat="1" applyAlignment="1">
      <alignment wrapText="1"/>
    </xf>
    <xf numFmtId="0" fontId="5" fillId="8" borderId="0" xfId="0" applyFont="1" applyFill="1"/>
    <xf numFmtId="168" fontId="0" fillId="0" borderId="0" xfId="0" applyNumberFormat="1"/>
    <xf numFmtId="0" fontId="0" fillId="10" borderId="0" xfId="0" applyFill="1"/>
    <xf numFmtId="166" fontId="0" fillId="10" borderId="0" xfId="0" applyNumberFormat="1" applyFill="1"/>
    <xf numFmtId="0" fontId="5" fillId="10" borderId="0" xfId="0" applyFont="1" applyFill="1"/>
    <xf numFmtId="2" fontId="0" fillId="0" borderId="0" xfId="0" applyNumberFormat="1"/>
    <xf numFmtId="0" fontId="2" fillId="12" borderId="0" xfId="0" applyFont="1" applyFill="1"/>
    <xf numFmtId="0" fontId="0" fillId="13" borderId="0" xfId="0" applyFill="1" applyAlignment="1">
      <alignment wrapText="1"/>
    </xf>
    <xf numFmtId="1" fontId="3" fillId="13" borderId="0" xfId="0" applyNumberFormat="1" applyFont="1" applyFill="1" applyAlignment="1">
      <alignment wrapText="1"/>
    </xf>
    <xf numFmtId="164" fontId="3" fillId="13" borderId="0" xfId="0" applyNumberFormat="1" applyFont="1" applyFill="1" applyAlignment="1">
      <alignment wrapText="1"/>
    </xf>
    <xf numFmtId="0" fontId="2" fillId="12" borderId="0" xfId="0" applyFont="1" applyFill="1" applyAlignment="1">
      <alignment wrapText="1"/>
    </xf>
    <xf numFmtId="14" fontId="3" fillId="0" borderId="0" xfId="0" applyNumberFormat="1" applyFont="1" applyAlignment="1">
      <alignment wrapText="1"/>
    </xf>
    <xf numFmtId="166" fontId="2" fillId="12" borderId="0" xfId="0" applyNumberFormat="1" applyFont="1" applyFill="1"/>
    <xf numFmtId="0" fontId="0" fillId="14" borderId="0" xfId="0" applyFill="1"/>
    <xf numFmtId="0" fontId="5" fillId="14" borderId="0" xfId="0" applyFont="1" applyFill="1"/>
    <xf numFmtId="166" fontId="5" fillId="14" borderId="0" xfId="0" applyNumberFormat="1" applyFont="1" applyFill="1"/>
    <xf numFmtId="167" fontId="0" fillId="0" borderId="0" xfId="0" applyNumberFormat="1" applyAlignment="1">
      <alignment wrapText="1"/>
    </xf>
    <xf numFmtId="0" fontId="5" fillId="13" borderId="0" xfId="0" applyFont="1" applyFill="1"/>
    <xf numFmtId="0" fontId="5" fillId="15" borderId="0" xfId="0" applyFont="1" applyFill="1"/>
    <xf numFmtId="166" fontId="5" fillId="5" borderId="0" xfId="0" applyNumberFormat="1" applyFont="1" applyFill="1"/>
    <xf numFmtId="0" fontId="0" fillId="16" borderId="0" xfId="0" applyFill="1"/>
    <xf numFmtId="166" fontId="0" fillId="16" borderId="0" xfId="0" applyNumberFormat="1" applyFill="1"/>
    <xf numFmtId="0" fontId="0" fillId="13" borderId="0" xfId="0" applyFill="1" applyAlignment="1">
      <alignment vertical="top" wrapText="1"/>
    </xf>
    <xf numFmtId="166" fontId="0" fillId="13" borderId="0" xfId="0" applyNumberFormat="1" applyFill="1" applyAlignment="1">
      <alignment vertical="top" wrapText="1"/>
    </xf>
    <xf numFmtId="168" fontId="5" fillId="14" borderId="0" xfId="0" applyNumberFormat="1" applyFont="1" applyFill="1"/>
    <xf numFmtId="14" fontId="5" fillId="14" borderId="0" xfId="0" applyNumberFormat="1" applyFont="1" applyFill="1"/>
    <xf numFmtId="0" fontId="5" fillId="16" borderId="0" xfId="0" applyFont="1" applyFill="1"/>
    <xf numFmtId="166" fontId="5" fillId="16" borderId="0" xfId="0" applyNumberFormat="1" applyFont="1" applyFill="1"/>
    <xf numFmtId="166" fontId="5" fillId="15" borderId="0" xfId="0" applyNumberFormat="1" applyFont="1" applyFill="1"/>
    <xf numFmtId="166" fontId="0" fillId="14" borderId="0" xfId="0" applyNumberFormat="1" applyFill="1"/>
    <xf numFmtId="166" fontId="6" fillId="0" borderId="0" xfId="0" applyNumberFormat="1" applyFont="1"/>
    <xf numFmtId="0" fontId="8" fillId="18" borderId="0" xfId="0" applyFont="1" applyFill="1" applyAlignment="1">
      <alignment wrapText="1"/>
    </xf>
    <xf numFmtId="166" fontId="3" fillId="20" borderId="0" xfId="0" applyNumberFormat="1" applyFont="1" applyFill="1"/>
    <xf numFmtId="0" fontId="6" fillId="0" borderId="0" xfId="0" applyFont="1"/>
    <xf numFmtId="0" fontId="5" fillId="21" borderId="0" xfId="0" applyFont="1" applyFill="1"/>
    <xf numFmtId="0" fontId="5" fillId="23" borderId="0" xfId="0" applyFont="1" applyFill="1" applyAlignment="1">
      <alignment wrapText="1"/>
    </xf>
    <xf numFmtId="169" fontId="6" fillId="0" borderId="0" xfId="0" applyNumberFormat="1" applyFont="1"/>
    <xf numFmtId="1" fontId="6" fillId="0" borderId="0" xfId="0" applyNumberFormat="1" applyFont="1"/>
    <xf numFmtId="14" fontId="6" fillId="0" borderId="0" xfId="0" applyNumberFormat="1" applyFont="1"/>
    <xf numFmtId="170" fontId="0" fillId="0" borderId="0" xfId="0" applyNumberFormat="1"/>
    <xf numFmtId="0" fontId="2" fillId="17" borderId="0" xfId="0" applyFont="1" applyFill="1" applyAlignment="1">
      <alignment wrapText="1"/>
    </xf>
    <xf numFmtId="1" fontId="5" fillId="21" borderId="0" xfId="0" applyNumberFormat="1" applyFont="1" applyFill="1"/>
    <xf numFmtId="170" fontId="5" fillId="4" borderId="0" xfId="0" applyNumberFormat="1" applyFont="1" applyFill="1"/>
    <xf numFmtId="0" fontId="0" fillId="3" borderId="2" xfId="0" applyFill="1" applyBorder="1" applyAlignment="1">
      <alignment wrapText="1"/>
    </xf>
    <xf numFmtId="166" fontId="3" fillId="3" borderId="2" xfId="0" applyNumberFormat="1" applyFont="1" applyFill="1" applyBorder="1" applyAlignment="1">
      <alignment wrapText="1"/>
    </xf>
    <xf numFmtId="0" fontId="0" fillId="20" borderId="2" xfId="0" applyFill="1" applyBorder="1" applyAlignment="1">
      <alignment wrapText="1"/>
    </xf>
    <xf numFmtId="166" fontId="3" fillId="20" borderId="2" xfId="0" applyNumberFormat="1" applyFont="1" applyFill="1" applyBorder="1" applyAlignment="1">
      <alignment wrapText="1"/>
    </xf>
    <xf numFmtId="166" fontId="6" fillId="3" borderId="2" xfId="0" applyNumberFormat="1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4" fillId="20" borderId="2" xfId="0" applyFont="1" applyFill="1" applyBorder="1" applyAlignment="1">
      <alignment wrapText="1"/>
    </xf>
    <xf numFmtId="0" fontId="0" fillId="21" borderId="2" xfId="0" applyFill="1" applyBorder="1" applyAlignment="1">
      <alignment wrapText="1"/>
    </xf>
    <xf numFmtId="166" fontId="4" fillId="21" borderId="2" xfId="0" applyNumberFormat="1" applyFont="1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20" borderId="6" xfId="0" applyFill="1" applyBorder="1" applyAlignment="1">
      <alignment wrapText="1"/>
    </xf>
    <xf numFmtId="0" fontId="0" fillId="20" borderId="7" xfId="0" applyFill="1" applyBorder="1" applyAlignment="1">
      <alignment wrapText="1"/>
    </xf>
    <xf numFmtId="0" fontId="0" fillId="21" borderId="6" xfId="0" applyFill="1" applyBorder="1" applyAlignment="1">
      <alignment wrapText="1"/>
    </xf>
    <xf numFmtId="0" fontId="0" fillId="21" borderId="7" xfId="0" applyFill="1" applyBorder="1" applyAlignment="1">
      <alignment wrapText="1"/>
    </xf>
    <xf numFmtId="0" fontId="5" fillId="18" borderId="8" xfId="0" applyFont="1" applyFill="1" applyBorder="1" applyAlignment="1">
      <alignment wrapText="1"/>
    </xf>
    <xf numFmtId="166" fontId="9" fillId="18" borderId="9" xfId="0" applyNumberFormat="1" applyFont="1" applyFill="1" applyBorder="1" applyAlignment="1">
      <alignment wrapText="1"/>
    </xf>
    <xf numFmtId="0" fontId="5" fillId="18" borderId="9" xfId="0" applyFont="1" applyFill="1" applyBorder="1" applyAlignment="1">
      <alignment wrapText="1"/>
    </xf>
    <xf numFmtId="0" fontId="0" fillId="3" borderId="16" xfId="0" applyFill="1" applyBorder="1" applyAlignment="1">
      <alignment wrapText="1"/>
    </xf>
    <xf numFmtId="0" fontId="0" fillId="20" borderId="16" xfId="0" applyFill="1" applyBorder="1" applyAlignment="1">
      <alignment wrapText="1"/>
    </xf>
    <xf numFmtId="0" fontId="4" fillId="3" borderId="16" xfId="0" applyFont="1" applyFill="1" applyBorder="1" applyAlignment="1">
      <alignment wrapText="1"/>
    </xf>
    <xf numFmtId="0" fontId="4" fillId="20" borderId="16" xfId="0" applyFont="1" applyFill="1" applyBorder="1" applyAlignment="1">
      <alignment wrapText="1"/>
    </xf>
    <xf numFmtId="0" fontId="0" fillId="21" borderId="16" xfId="0" applyFill="1" applyBorder="1" applyAlignment="1">
      <alignment wrapText="1"/>
    </xf>
    <xf numFmtId="0" fontId="5" fillId="18" borderId="17" xfId="0" applyFont="1" applyFill="1" applyBorder="1" applyAlignment="1">
      <alignment wrapText="1"/>
    </xf>
    <xf numFmtId="169" fontId="3" fillId="20" borderId="2" xfId="0" applyNumberFormat="1" applyFont="1" applyFill="1" applyBorder="1" applyAlignment="1">
      <alignment wrapText="1"/>
    </xf>
    <xf numFmtId="1" fontId="3" fillId="20" borderId="2" xfId="0" applyNumberFormat="1" applyFont="1" applyFill="1" applyBorder="1" applyAlignment="1">
      <alignment wrapText="1"/>
    </xf>
    <xf numFmtId="14" fontId="3" fillId="20" borderId="2" xfId="0" applyNumberFormat="1" applyFont="1" applyFill="1" applyBorder="1" applyAlignment="1">
      <alignment wrapText="1"/>
    </xf>
    <xf numFmtId="0" fontId="3" fillId="20" borderId="2" xfId="0" applyFont="1" applyFill="1" applyBorder="1" applyAlignment="1">
      <alignment wrapText="1"/>
    </xf>
    <xf numFmtId="0" fontId="0" fillId="18" borderId="2" xfId="0" applyFill="1" applyBorder="1" applyAlignment="1">
      <alignment wrapText="1"/>
    </xf>
    <xf numFmtId="0" fontId="4" fillId="20" borderId="6" xfId="0" applyFont="1" applyFill="1" applyBorder="1" applyAlignment="1">
      <alignment wrapText="1"/>
    </xf>
    <xf numFmtId="0" fontId="0" fillId="18" borderId="6" xfId="0" applyFill="1" applyBorder="1" applyAlignment="1">
      <alignment wrapText="1"/>
    </xf>
    <xf numFmtId="0" fontId="0" fillId="18" borderId="8" xfId="0" applyFill="1" applyBorder="1" applyAlignment="1">
      <alignment wrapText="1"/>
    </xf>
    <xf numFmtId="166" fontId="0" fillId="18" borderId="9" xfId="0" applyNumberFormat="1" applyFill="1" applyBorder="1" applyAlignment="1">
      <alignment wrapText="1"/>
    </xf>
    <xf numFmtId="0" fontId="0" fillId="18" borderId="9" xfId="0" applyFill="1" applyBorder="1" applyAlignment="1">
      <alignment wrapText="1"/>
    </xf>
    <xf numFmtId="0" fontId="0" fillId="18" borderId="16" xfId="0" applyFill="1" applyBorder="1" applyAlignment="1">
      <alignment wrapText="1"/>
    </xf>
    <xf numFmtId="0" fontId="0" fillId="18" borderId="17" xfId="0" applyFill="1" applyBorder="1" applyAlignment="1">
      <alignment wrapText="1"/>
    </xf>
    <xf numFmtId="2" fontId="3" fillId="20" borderId="2" xfId="0" applyNumberFormat="1" applyFont="1" applyFill="1" applyBorder="1" applyAlignment="1">
      <alignment wrapText="1"/>
    </xf>
    <xf numFmtId="0" fontId="0" fillId="0" borderId="2" xfId="0" applyBorder="1" applyAlignment="1">
      <alignment wrapText="1"/>
    </xf>
    <xf numFmtId="166" fontId="0" fillId="0" borderId="2" xfId="0" applyNumberFormat="1" applyBorder="1" applyAlignment="1">
      <alignment wrapText="1"/>
    </xf>
    <xf numFmtId="166" fontId="6" fillId="0" borderId="2" xfId="0" applyNumberFormat="1" applyFont="1" applyBorder="1" applyAlignment="1">
      <alignment wrapText="1"/>
    </xf>
    <xf numFmtId="166" fontId="0" fillId="21" borderId="2" xfId="0" applyNumberForma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21" borderId="8" xfId="0" applyFill="1" applyBorder="1" applyAlignment="1">
      <alignment wrapText="1"/>
    </xf>
    <xf numFmtId="166" fontId="0" fillId="21" borderId="9" xfId="0" applyNumberFormat="1" applyFill="1" applyBorder="1" applyAlignment="1">
      <alignment wrapText="1"/>
    </xf>
    <xf numFmtId="0" fontId="0" fillId="21" borderId="9" xfId="0" applyFill="1" applyBorder="1" applyAlignment="1">
      <alignment wrapText="1"/>
    </xf>
    <xf numFmtId="0" fontId="0" fillId="21" borderId="10" xfId="0" applyFill="1" applyBorder="1" applyAlignment="1">
      <alignment wrapText="1"/>
    </xf>
    <xf numFmtId="0" fontId="2" fillId="19" borderId="18" xfId="0" applyFont="1" applyFill="1" applyBorder="1" applyAlignment="1">
      <alignment vertical="center" wrapText="1"/>
    </xf>
    <xf numFmtId="166" fontId="2" fillId="19" borderId="18" xfId="0" applyNumberFormat="1" applyFont="1" applyFill="1" applyBorder="1" applyAlignment="1">
      <alignment vertical="center" wrapText="1"/>
    </xf>
    <xf numFmtId="1" fontId="4" fillId="21" borderId="7" xfId="0" applyNumberFormat="1" applyFont="1" applyFill="1" applyBorder="1" applyAlignment="1">
      <alignment wrapText="1"/>
    </xf>
    <xf numFmtId="170" fontId="0" fillId="4" borderId="7" xfId="0" applyNumberFormat="1" applyFill="1" applyBorder="1" applyAlignment="1">
      <alignment wrapText="1"/>
    </xf>
    <xf numFmtId="0" fontId="5" fillId="21" borderId="6" xfId="0" applyFont="1" applyFill="1" applyBorder="1" applyAlignment="1">
      <alignment wrapText="1"/>
    </xf>
    <xf numFmtId="166" fontId="5" fillId="4" borderId="7" xfId="0" applyNumberFormat="1" applyFont="1" applyFill="1" applyBorder="1" applyAlignment="1">
      <alignment wrapText="1"/>
    </xf>
    <xf numFmtId="0" fontId="5" fillId="21" borderId="6" xfId="0" applyFont="1" applyFill="1" applyBorder="1" applyAlignment="1">
      <alignment vertical="center" wrapText="1"/>
    </xf>
    <xf numFmtId="166" fontId="5" fillId="4" borderId="7" xfId="0" applyNumberFormat="1" applyFont="1" applyFill="1" applyBorder="1" applyAlignment="1">
      <alignment vertical="center" wrapText="1"/>
    </xf>
    <xf numFmtId="166" fontId="7" fillId="4" borderId="7" xfId="0" applyNumberFormat="1" applyFont="1" applyFill="1" applyBorder="1" applyAlignment="1">
      <alignment wrapText="1"/>
    </xf>
    <xf numFmtId="1" fontId="4" fillId="21" borderId="10" xfId="0" applyNumberFormat="1" applyFont="1" applyFill="1" applyBorder="1" applyAlignment="1">
      <alignment wrapText="1"/>
    </xf>
    <xf numFmtId="166" fontId="4" fillId="24" borderId="6" xfId="0" applyNumberFormat="1" applyFont="1" applyFill="1" applyBorder="1" applyAlignment="1">
      <alignment wrapText="1"/>
    </xf>
    <xf numFmtId="1" fontId="0" fillId="24" borderId="7" xfId="0" applyNumberFormat="1" applyFill="1" applyBorder="1" applyAlignment="1">
      <alignment wrapText="1"/>
    </xf>
    <xf numFmtId="166" fontId="0" fillId="24" borderId="6" xfId="0" applyNumberFormat="1" applyFill="1" applyBorder="1" applyAlignment="1">
      <alignment wrapText="1"/>
    </xf>
    <xf numFmtId="170" fontId="0" fillId="24" borderId="7" xfId="0" applyNumberFormat="1" applyFill="1" applyBorder="1" applyAlignment="1">
      <alignment wrapText="1"/>
    </xf>
    <xf numFmtId="166" fontId="5" fillId="24" borderId="6" xfId="0" applyNumberFormat="1" applyFont="1" applyFill="1" applyBorder="1" applyAlignment="1">
      <alignment wrapText="1"/>
    </xf>
    <xf numFmtId="166" fontId="5" fillId="24" borderId="7" xfId="0" applyNumberFormat="1" applyFont="1" applyFill="1" applyBorder="1" applyAlignment="1">
      <alignment wrapText="1"/>
    </xf>
    <xf numFmtId="166" fontId="5" fillId="24" borderId="6" xfId="0" applyNumberFormat="1" applyFont="1" applyFill="1" applyBorder="1" applyAlignment="1">
      <alignment vertical="center" wrapText="1"/>
    </xf>
    <xf numFmtId="166" fontId="5" fillId="24" borderId="7" xfId="0" applyNumberFormat="1" applyFont="1" applyFill="1" applyBorder="1" applyAlignment="1">
      <alignment vertical="center" wrapText="1"/>
    </xf>
    <xf numFmtId="166" fontId="7" fillId="24" borderId="6" xfId="0" applyNumberFormat="1" applyFont="1" applyFill="1" applyBorder="1" applyAlignment="1">
      <alignment wrapText="1"/>
    </xf>
    <xf numFmtId="166" fontId="4" fillId="24" borderId="8" xfId="0" applyNumberFormat="1" applyFont="1" applyFill="1" applyBorder="1" applyAlignment="1">
      <alignment wrapText="1"/>
    </xf>
    <xf numFmtId="1" fontId="0" fillId="24" borderId="10" xfId="0" applyNumberFormat="1" applyFill="1" applyBorder="1" applyAlignment="1">
      <alignment wrapText="1"/>
    </xf>
    <xf numFmtId="1" fontId="0" fillId="18" borderId="7" xfId="0" applyNumberFormat="1" applyFill="1" applyBorder="1" applyAlignment="1">
      <alignment wrapText="1"/>
    </xf>
    <xf numFmtId="170" fontId="0" fillId="6" borderId="7" xfId="0" applyNumberFormat="1" applyFill="1" applyBorder="1" applyAlignment="1">
      <alignment wrapText="1"/>
    </xf>
    <xf numFmtId="166" fontId="0" fillId="6" borderId="7" xfId="0" applyNumberFormat="1" applyFill="1" applyBorder="1" applyAlignment="1">
      <alignment wrapText="1"/>
    </xf>
    <xf numFmtId="1" fontId="0" fillId="18" borderId="10" xfId="0" applyNumberFormat="1" applyFill="1" applyBorder="1" applyAlignment="1">
      <alignment wrapText="1"/>
    </xf>
    <xf numFmtId="0" fontId="5" fillId="18" borderId="6" xfId="0" applyFont="1" applyFill="1" applyBorder="1" applyAlignment="1">
      <alignment wrapText="1"/>
    </xf>
    <xf numFmtId="0" fontId="0" fillId="4" borderId="6" xfId="0" applyFill="1" applyBorder="1" applyAlignment="1">
      <alignment wrapText="1"/>
    </xf>
    <xf numFmtId="1" fontId="0" fillId="21" borderId="7" xfId="0" applyNumberFormat="1" applyFill="1" applyBorder="1"/>
    <xf numFmtId="170" fontId="0" fillId="4" borderId="7" xfId="0" applyNumberFormat="1" applyFill="1" applyBorder="1"/>
    <xf numFmtId="166" fontId="0" fillId="4" borderId="7" xfId="0" applyNumberFormat="1" applyFill="1" applyBorder="1"/>
    <xf numFmtId="0" fontId="0" fillId="4" borderId="8" xfId="0" applyFill="1" applyBorder="1" applyAlignment="1">
      <alignment wrapText="1"/>
    </xf>
    <xf numFmtId="166" fontId="0" fillId="4" borderId="10" xfId="0" applyNumberFormat="1" applyFill="1" applyBorder="1"/>
    <xf numFmtId="0" fontId="0" fillId="24" borderId="6" xfId="0" applyFill="1" applyBorder="1" applyAlignment="1">
      <alignment wrapText="1"/>
    </xf>
    <xf numFmtId="1" fontId="0" fillId="24" borderId="7" xfId="0" applyNumberFormat="1" applyFill="1" applyBorder="1"/>
    <xf numFmtId="170" fontId="0" fillId="24" borderId="7" xfId="0" applyNumberFormat="1" applyFill="1" applyBorder="1"/>
    <xf numFmtId="166" fontId="0" fillId="24" borderId="7" xfId="0" applyNumberFormat="1" applyFill="1" applyBorder="1"/>
    <xf numFmtId="0" fontId="0" fillId="24" borderId="8" xfId="0" applyFill="1" applyBorder="1" applyAlignment="1">
      <alignment wrapText="1"/>
    </xf>
    <xf numFmtId="166" fontId="0" fillId="24" borderId="10" xfId="0" applyNumberFormat="1" applyFill="1" applyBorder="1"/>
    <xf numFmtId="0" fontId="0" fillId="6" borderId="6" xfId="0" applyFill="1" applyBorder="1" applyAlignment="1">
      <alignment wrapText="1"/>
    </xf>
    <xf numFmtId="1" fontId="0" fillId="18" borderId="7" xfId="0" applyNumberFormat="1" applyFill="1" applyBorder="1"/>
    <xf numFmtId="170" fontId="0" fillId="6" borderId="7" xfId="0" applyNumberFormat="1" applyFill="1" applyBorder="1"/>
    <xf numFmtId="166" fontId="0" fillId="6" borderId="7" xfId="0" applyNumberFormat="1" applyFill="1" applyBorder="1"/>
    <xf numFmtId="0" fontId="0" fillId="6" borderId="8" xfId="0" applyFill="1" applyBorder="1" applyAlignment="1">
      <alignment wrapText="1"/>
    </xf>
    <xf numFmtId="166" fontId="0" fillId="6" borderId="10" xfId="0" applyNumberFormat="1" applyFill="1" applyBorder="1"/>
    <xf numFmtId="0" fontId="8" fillId="18" borderId="0" xfId="0" applyFont="1" applyFill="1" applyAlignment="1">
      <alignment wrapText="1"/>
    </xf>
    <xf numFmtId="0" fontId="2" fillId="2" borderId="0" xfId="0" applyFont="1" applyFill="1" applyAlignment="1">
      <alignment horizontal="left" vertical="center" wrapText="1"/>
    </xf>
    <xf numFmtId="0" fontId="1" fillId="17" borderId="0" xfId="0" applyFont="1" applyFill="1" applyAlignment="1">
      <alignment horizontal="left" vertical="center" wrapText="1"/>
    </xf>
    <xf numFmtId="0" fontId="2" fillId="19" borderId="3" xfId="0" applyFont="1" applyFill="1" applyBorder="1" applyAlignment="1">
      <alignment horizontal="left" vertical="center" wrapText="1"/>
    </xf>
    <xf numFmtId="166" fontId="2" fillId="19" borderId="4" xfId="0" applyNumberFormat="1" applyFont="1" applyFill="1" applyBorder="1" applyAlignment="1">
      <alignment horizontal="left" vertical="center" wrapText="1"/>
    </xf>
    <xf numFmtId="0" fontId="2" fillId="19" borderId="4" xfId="0" applyFont="1" applyFill="1" applyBorder="1" applyAlignment="1">
      <alignment horizontal="left" vertical="center" wrapText="1"/>
    </xf>
    <xf numFmtId="0" fontId="2" fillId="19" borderId="15" xfId="0" applyFont="1" applyFill="1" applyBorder="1" applyAlignment="1">
      <alignment horizontal="left" vertical="center" wrapText="1"/>
    </xf>
    <xf numFmtId="0" fontId="2" fillId="19" borderId="5" xfId="0" applyFont="1" applyFill="1" applyBorder="1" applyAlignment="1">
      <alignment horizontal="left" vertical="center" wrapText="1"/>
    </xf>
    <xf numFmtId="0" fontId="2" fillId="19" borderId="0" xfId="0" applyFont="1" applyFill="1" applyAlignment="1">
      <alignment horizontal="left" vertical="center" wrapText="1"/>
    </xf>
    <xf numFmtId="166" fontId="2" fillId="19" borderId="0" xfId="0" applyNumberFormat="1" applyFont="1" applyFill="1" applyAlignment="1">
      <alignment horizontal="left" vertical="center" wrapText="1"/>
    </xf>
    <xf numFmtId="0" fontId="0" fillId="20" borderId="0" xfId="0" applyFill="1" applyAlignment="1">
      <alignment vertical="top" wrapText="1"/>
    </xf>
    <xf numFmtId="0" fontId="10" fillId="21" borderId="11" xfId="0" applyFont="1" applyFill="1" applyBorder="1" applyAlignment="1">
      <alignment horizontal="center" vertical="center" wrapText="1"/>
    </xf>
    <xf numFmtId="0" fontId="10" fillId="21" borderId="12" xfId="0" applyFont="1" applyFill="1" applyBorder="1" applyAlignment="1">
      <alignment horizontal="center" vertical="center" wrapText="1"/>
    </xf>
    <xf numFmtId="166" fontId="11" fillId="4" borderId="13" xfId="0" applyNumberFormat="1" applyFont="1" applyFill="1" applyBorder="1" applyAlignment="1">
      <alignment horizontal="center" vertical="center" wrapText="1"/>
    </xf>
    <xf numFmtId="166" fontId="11" fillId="4" borderId="14" xfId="0" applyNumberFormat="1" applyFont="1" applyFill="1" applyBorder="1" applyAlignment="1">
      <alignment horizontal="center" vertical="center" wrapText="1"/>
    </xf>
    <xf numFmtId="0" fontId="10" fillId="18" borderId="11" xfId="0" applyFont="1" applyFill="1" applyBorder="1" applyAlignment="1">
      <alignment horizontal="center" vertical="center" wrapText="1"/>
    </xf>
    <xf numFmtId="0" fontId="10" fillId="18" borderId="12" xfId="0" applyFont="1" applyFill="1" applyBorder="1" applyAlignment="1">
      <alignment horizontal="center" vertical="center" wrapText="1"/>
    </xf>
    <xf numFmtId="0" fontId="13" fillId="21" borderId="19" xfId="0" applyFont="1" applyFill="1" applyBorder="1" applyAlignment="1">
      <alignment horizontal="center" vertical="center" wrapText="1"/>
    </xf>
    <xf numFmtId="0" fontId="13" fillId="21" borderId="20" xfId="0" applyFont="1" applyFill="1" applyBorder="1" applyAlignment="1">
      <alignment horizontal="center" vertical="center" wrapText="1"/>
    </xf>
    <xf numFmtId="166" fontId="13" fillId="24" borderId="19" xfId="0" applyNumberFormat="1" applyFont="1" applyFill="1" applyBorder="1" applyAlignment="1">
      <alignment horizontal="center" vertical="center" wrapText="1"/>
    </xf>
    <xf numFmtId="166" fontId="13" fillId="24" borderId="20" xfId="0" applyNumberFormat="1" applyFont="1" applyFill="1" applyBorder="1" applyAlignment="1">
      <alignment horizontal="center" vertical="center" wrapText="1"/>
    </xf>
    <xf numFmtId="0" fontId="13" fillId="18" borderId="19" xfId="0" applyFont="1" applyFill="1" applyBorder="1" applyAlignment="1">
      <alignment horizontal="center" vertical="center" wrapText="1"/>
    </xf>
    <xf numFmtId="0" fontId="13" fillId="18" borderId="20" xfId="0" applyFont="1" applyFill="1" applyBorder="1" applyAlignment="1">
      <alignment horizontal="center" vertical="center" wrapText="1"/>
    </xf>
    <xf numFmtId="166" fontId="11" fillId="5" borderId="13" xfId="0" applyNumberFormat="1" applyFont="1" applyFill="1" applyBorder="1" applyAlignment="1">
      <alignment horizontal="center" vertical="center" wrapText="1"/>
    </xf>
    <xf numFmtId="166" fontId="11" fillId="5" borderId="14" xfId="0" applyNumberFormat="1" applyFont="1" applyFill="1" applyBorder="1" applyAlignment="1">
      <alignment horizontal="center" vertical="center" wrapText="1"/>
    </xf>
    <xf numFmtId="166" fontId="10" fillId="23" borderId="11" xfId="0" applyNumberFormat="1" applyFont="1" applyFill="1" applyBorder="1" applyAlignment="1">
      <alignment horizontal="center" vertical="center" wrapText="1"/>
    </xf>
    <xf numFmtId="166" fontId="10" fillId="23" borderId="12" xfId="0" applyNumberFormat="1" applyFont="1" applyFill="1" applyBorder="1" applyAlignment="1">
      <alignment horizontal="center" vertical="center" wrapText="1"/>
    </xf>
    <xf numFmtId="0" fontId="10" fillId="23" borderId="11" xfId="0" applyFont="1" applyFill="1" applyBorder="1" applyAlignment="1">
      <alignment horizontal="center" vertical="center" wrapText="1"/>
    </xf>
    <xf numFmtId="0" fontId="10" fillId="23" borderId="12" xfId="0" applyFont="1" applyFill="1" applyBorder="1" applyAlignment="1">
      <alignment horizontal="center" vertical="center" wrapText="1"/>
    </xf>
    <xf numFmtId="166" fontId="12" fillId="5" borderId="13" xfId="0" applyNumberFormat="1" applyFont="1" applyFill="1" applyBorder="1" applyAlignment="1">
      <alignment horizontal="center" vertical="center" wrapText="1"/>
    </xf>
    <xf numFmtId="166" fontId="12" fillId="5" borderId="14" xfId="0" applyNumberFormat="1" applyFont="1" applyFill="1" applyBorder="1" applyAlignment="1">
      <alignment horizontal="center" vertical="center" wrapText="1"/>
    </xf>
    <xf numFmtId="170" fontId="11" fillId="5" borderId="13" xfId="0" applyNumberFormat="1" applyFont="1" applyFill="1" applyBorder="1" applyAlignment="1">
      <alignment horizontal="center" vertical="center" wrapText="1"/>
    </xf>
    <xf numFmtId="170" fontId="11" fillId="5" borderId="14" xfId="0" applyNumberFormat="1" applyFont="1" applyFill="1" applyBorder="1" applyAlignment="1">
      <alignment horizontal="center" vertical="center" wrapText="1"/>
    </xf>
    <xf numFmtId="0" fontId="10" fillId="20" borderId="11" xfId="0" applyFont="1" applyFill="1" applyBorder="1" applyAlignment="1">
      <alignment horizontal="center" vertical="center" wrapText="1"/>
    </xf>
    <xf numFmtId="0" fontId="10" fillId="20" borderId="12" xfId="0" applyFont="1" applyFill="1" applyBorder="1" applyAlignment="1">
      <alignment horizontal="center" vertical="center" wrapText="1"/>
    </xf>
    <xf numFmtId="166" fontId="11" fillId="3" borderId="13" xfId="0" applyNumberFormat="1" applyFont="1" applyFill="1" applyBorder="1" applyAlignment="1">
      <alignment horizontal="center" vertical="center" wrapText="1"/>
    </xf>
    <xf numFmtId="166" fontId="11" fillId="3" borderId="14" xfId="0" applyNumberFormat="1" applyFont="1" applyFill="1" applyBorder="1" applyAlignment="1">
      <alignment horizontal="center" vertical="center" wrapText="1"/>
    </xf>
    <xf numFmtId="166" fontId="11" fillId="6" borderId="13" xfId="0" applyNumberFormat="1" applyFont="1" applyFill="1" applyBorder="1" applyAlignment="1">
      <alignment horizontal="center" vertical="center" wrapText="1"/>
    </xf>
    <xf numFmtId="166" fontId="11" fillId="6" borderId="14" xfId="0" applyNumberFormat="1" applyFont="1" applyFill="1" applyBorder="1" applyAlignment="1">
      <alignment horizontal="center" vertical="center" wrapText="1"/>
    </xf>
    <xf numFmtId="0" fontId="2" fillId="22" borderId="0" xfId="0" applyFont="1" applyFill="1" applyAlignment="1">
      <alignment horizontal="left" vertical="center" wrapText="1"/>
    </xf>
    <xf numFmtId="0" fontId="5" fillId="16" borderId="0" xfId="0" applyFont="1" applyFill="1" applyAlignment="1">
      <alignment vertical="top" wrapText="1"/>
    </xf>
    <xf numFmtId="0" fontId="2" fillId="2" borderId="0" xfId="0" applyFont="1" applyFill="1" applyAlignment="1">
      <alignment vertical="center"/>
    </xf>
    <xf numFmtId="0" fontId="2" fillId="25" borderId="0" xfId="0" applyFont="1" applyFill="1" applyAlignment="1">
      <alignment vertical="center"/>
    </xf>
    <xf numFmtId="166" fontId="2" fillId="25" borderId="0" xfId="0" applyNumberFormat="1" applyFont="1" applyFill="1" applyAlignment="1">
      <alignment vertical="center"/>
    </xf>
    <xf numFmtId="0" fontId="2" fillId="7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166" fontId="2" fillId="12" borderId="0" xfId="0" applyNumberFormat="1" applyFont="1" applyFill="1" applyAlignment="1">
      <alignment horizontal="left" vertical="center"/>
    </xf>
    <xf numFmtId="0" fontId="1" fillId="17" borderId="0" xfId="0" applyFont="1" applyFill="1" applyAlignment="1">
      <alignment horizontal="left" vertical="center"/>
    </xf>
    <xf numFmtId="0" fontId="0" fillId="18" borderId="0" xfId="0" applyFill="1" applyAlignment="1">
      <alignment wrapText="1"/>
    </xf>
    <xf numFmtId="0" fontId="2" fillId="19" borderId="0" xfId="0" applyFont="1" applyFill="1" applyAlignment="1">
      <alignment horizontal="left" vertical="center"/>
    </xf>
    <xf numFmtId="0" fontId="13" fillId="24" borderId="3" xfId="0" applyFont="1" applyFill="1" applyBorder="1" applyAlignment="1">
      <alignment horizontal="center"/>
    </xf>
    <xf numFmtId="0" fontId="13" fillId="24" borderId="5" xfId="0" applyFont="1" applyFill="1" applyBorder="1" applyAlignment="1">
      <alignment horizontal="center"/>
    </xf>
    <xf numFmtId="0" fontId="13" fillId="18" borderId="3" xfId="0" applyFont="1" applyFill="1" applyBorder="1" applyAlignment="1">
      <alignment horizontal="center"/>
    </xf>
    <xf numFmtId="0" fontId="13" fillId="18" borderId="5" xfId="0" applyFont="1" applyFill="1" applyBorder="1" applyAlignment="1">
      <alignment horizontal="center"/>
    </xf>
    <xf numFmtId="0" fontId="13" fillId="21" borderId="3" xfId="0" applyFont="1" applyFill="1" applyBorder="1" applyAlignment="1">
      <alignment horizontal="center"/>
    </xf>
    <xf numFmtId="0" fontId="13" fillId="21" borderId="5" xfId="0" applyFont="1" applyFill="1" applyBorder="1" applyAlignment="1">
      <alignment horizontal="center"/>
    </xf>
    <xf numFmtId="0" fontId="0" fillId="21" borderId="0" xfId="0" applyFill="1" applyAlignment="1">
      <alignment wrapText="1"/>
    </xf>
    <xf numFmtId="0" fontId="5" fillId="16" borderId="0" xfId="0" applyFont="1" applyFill="1" applyAlignment="1">
      <alignment wrapText="1"/>
    </xf>
    <xf numFmtId="0" fontId="2" fillId="13" borderId="0" xfId="0" applyFont="1" applyFill="1" applyAlignment="1">
      <alignment horizontal="left" vertical="top" wrapText="1"/>
    </xf>
    <xf numFmtId="0" fontId="0" fillId="9" borderId="0" xfId="0" applyFill="1" applyAlignment="1">
      <alignment vertical="top" wrapText="1"/>
    </xf>
    <xf numFmtId="0" fontId="5" fillId="18" borderId="0" xfId="0" applyFont="1" applyFill="1" applyAlignment="1">
      <alignment vertical="top" wrapText="1"/>
    </xf>
    <xf numFmtId="0" fontId="0" fillId="13" borderId="0" xfId="0" applyFill="1" applyAlignment="1">
      <alignment wrapText="1"/>
    </xf>
    <xf numFmtId="166" fontId="2" fillId="2" borderId="0" xfId="0" applyNumberFormat="1" applyFont="1" applyFill="1" applyAlignment="1">
      <alignment horizontal="left" vertical="center"/>
    </xf>
    <xf numFmtId="0" fontId="0" fillId="13" borderId="0" xfId="0" applyFill="1" applyAlignment="1">
      <alignment vertical="top" wrapText="1"/>
    </xf>
  </cellXfs>
  <cellStyles count="1">
    <cellStyle name="Normal" xfId="0" builtinId="0"/>
  </cellStyles>
  <dxfs count="6">
    <dxf>
      <font>
        <color rgb="FF067647"/>
      </font>
      <fill>
        <patternFill>
          <bgColor rgb="FFE8F5E9"/>
        </patternFill>
      </fill>
    </dxf>
    <dxf>
      <font>
        <color rgb="FFB42318"/>
      </font>
      <fill>
        <patternFill>
          <bgColor rgb="FFFDECEC"/>
        </patternFill>
      </fill>
    </dxf>
    <dxf>
      <font>
        <color rgb="FF067647"/>
      </font>
    </dxf>
    <dxf>
      <font>
        <color rgb="FFB42318"/>
      </font>
    </dxf>
    <dxf>
      <font>
        <color rgb="FF067647"/>
      </font>
    </dxf>
    <dxf>
      <font>
        <color rgb="FFB4231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Composição do TCO central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R$/ano</c:v>
          </c:tx>
          <c:invertIfNegative val="1"/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ED2-4562-8CA7-FF51BBBB4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Sensibilidade do TCO mensal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TCO caixa/mês</c:v>
          </c:tx>
          <c:invertIfNegative val="1"/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F64-43A5-AD9F-1B93329BA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Saldo devedor por estratégia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Baseline</c:v>
          </c:tx>
          <c:marker>
            <c:symbol val="none"/>
          </c:marker>
          <c:cat>
            <c:numRef>
              <c:f>Cenarios_Fin!$AI$35:$AI$94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Cenarios_Fin!$AJ$35:$AJ$94</c:f>
              <c:numCache>
                <c:formatCode>General</c:formatCode>
                <c:ptCount val="60"/>
                <c:pt idx="0">
                  <c:v>78908.489048936652</c:v>
                </c:pt>
                <c:pt idx="1">
                  <c:v>77798.422411705222</c:v>
                </c:pt>
                <c:pt idx="2">
                  <c:v>76669.484641640869</c:v>
                </c:pt>
                <c:pt idx="3">
                  <c:v>75521.354929485417</c:v>
                </c:pt>
                <c:pt idx="4">
                  <c:v>74353.707012223327</c:v>
                </c:pt>
                <c:pt idx="5">
                  <c:v>73166.209080367786</c:v>
                </c:pt>
                <c:pt idx="6">
                  <c:v>71958.52368367069</c:v>
                </c:pt>
                <c:pt idx="7">
                  <c:v>70730.30763522975</c:v>
                </c:pt>
                <c:pt idx="8">
                  <c:v>69481.211913965308</c:v>
                </c:pt>
                <c:pt idx="9">
                  <c:v>68210.881565439369</c:v>
                </c:pt>
                <c:pt idx="10">
                  <c:v>66918.955600988498</c:v>
                </c:pt>
                <c:pt idx="11">
                  <c:v>65605.066895141965</c:v>
                </c:pt>
                <c:pt idx="12">
                  <c:v>64268.842081296032</c:v>
                </c:pt>
                <c:pt idx="13">
                  <c:v>62909.90144561472</c:v>
                </c:pt>
                <c:pt idx="14">
                  <c:v>61527.858819126828</c:v>
                </c:pt>
                <c:pt idx="15">
                  <c:v>60122.321467988644</c:v>
                </c:pt>
                <c:pt idx="16">
                  <c:v>58692.889981881111</c:v>
                </c:pt>
                <c:pt idx="17">
                  <c:v>57239.158160509745</c:v>
                </c:pt>
                <c:pt idx="18">
                  <c:v>55760.712898175072</c:v>
                </c:pt>
                <c:pt idx="19">
                  <c:v>54257.134066380706</c:v>
                </c:pt>
                <c:pt idx="20">
                  <c:v>52727.994394445835</c:v>
                </c:pt>
                <c:pt idx="21">
                  <c:v>51172.859348088074</c:v>
                </c:pt>
                <c:pt idx="22">
                  <c:v>49591.287005942228</c:v>
                </c:pt>
                <c:pt idx="23">
                  <c:v>47982.827933979905</c:v>
                </c:pt>
                <c:pt idx="24">
                  <c:v>46347.025057794221</c:v>
                </c:pt>
                <c:pt idx="25">
                  <c:v>44683.413532713384</c:v>
                </c:pt>
                <c:pt idx="26">
                  <c:v>42991.520611706175</c:v>
                </c:pt>
                <c:pt idx="27">
                  <c:v>41270.86551104184</c:v>
                </c:pt>
                <c:pt idx="28">
                  <c:v>39520.959273666216</c:v>
                </c:pt>
                <c:pt idx="29">
                  <c:v>37741.304630255203</c:v>
                </c:pt>
                <c:pt idx="30">
                  <c:v>35931.395857906202</c:v>
                </c:pt>
                <c:pt idx="31">
                  <c:v>34090.718636427271</c:v>
                </c:pt>
                <c:pt idx="32">
                  <c:v>32218.749902183201</c:v>
                </c:pt>
                <c:pt idx="33">
                  <c:v>30314.95769945698</c:v>
                </c:pt>
                <c:pt idx="34">
                  <c:v>28378.801029284416</c:v>
                </c:pt>
                <c:pt idx="35">
                  <c:v>26409.729695718917</c:v>
                </c:pt>
                <c:pt idx="36">
                  <c:v>24407.184149482808</c:v>
                </c:pt>
                <c:pt idx="37">
                  <c:v>22370.595328960684</c:v>
                </c:pt>
                <c:pt idx="38">
                  <c:v>20299.38449848969</c:v>
                </c:pt>
                <c:pt idx="39">
                  <c:v>18192.96308390069</c:v>
                </c:pt>
                <c:pt idx="40">
                  <c:v>16050.732505263677</c:v>
                </c:pt>
                <c:pt idx="41">
                  <c:v>13872.084006789832</c:v>
                </c:pt>
                <c:pt idx="42">
                  <c:v>11656.398483841935</c:v>
                </c:pt>
                <c:pt idx="43">
                  <c:v>9403.0463070039277</c:v>
                </c:pt>
                <c:pt idx="44">
                  <c:v>7111.387143159679</c:v>
                </c:pt>
                <c:pt idx="45">
                  <c:v>4780.769773530079</c:v>
                </c:pt>
                <c:pt idx="46">
                  <c:v>2410.5319086167865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A39-4D84-9108-48F9C2E1FF28}"/>
            </c:ext>
          </c:extLst>
        </c:ser>
        <c:ser>
          <c:idx val="1"/>
          <c:order val="1"/>
          <c:tx>
            <c:v>Normal</c:v>
          </c:tx>
          <c:marker>
            <c:symbol val="none"/>
          </c:marker>
          <c:cat>
            <c:numRef>
              <c:f>Cenarios_Fin!$AI$35:$AI$94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Cenarios_Fin!$AK$35:$AK$94</c:f>
              <c:numCache>
                <c:formatCode>General</c:formatCode>
                <c:ptCount val="60"/>
                <c:pt idx="0">
                  <c:v>78908.489048936652</c:v>
                </c:pt>
                <c:pt idx="1">
                  <c:v>77798.422411705222</c:v>
                </c:pt>
                <c:pt idx="2">
                  <c:v>76669.484641640869</c:v>
                </c:pt>
                <c:pt idx="3">
                  <c:v>75521.354929485417</c:v>
                </c:pt>
                <c:pt idx="4">
                  <c:v>74353.707012223327</c:v>
                </c:pt>
                <c:pt idx="5">
                  <c:v>73166.209080367786</c:v>
                </c:pt>
                <c:pt idx="6">
                  <c:v>71958.52368367069</c:v>
                </c:pt>
                <c:pt idx="7">
                  <c:v>70730.30763522975</c:v>
                </c:pt>
                <c:pt idx="8">
                  <c:v>69481.211913965308</c:v>
                </c:pt>
                <c:pt idx="9">
                  <c:v>68210.881565439369</c:v>
                </c:pt>
                <c:pt idx="10">
                  <c:v>66918.955600988498</c:v>
                </c:pt>
                <c:pt idx="11">
                  <c:v>65605.066895141965</c:v>
                </c:pt>
                <c:pt idx="12">
                  <c:v>64268.842081296032</c:v>
                </c:pt>
                <c:pt idx="13">
                  <c:v>62909.90144561472</c:v>
                </c:pt>
                <c:pt idx="14">
                  <c:v>61527.858819126828</c:v>
                </c:pt>
                <c:pt idx="15">
                  <c:v>60122.321467988644</c:v>
                </c:pt>
                <c:pt idx="16">
                  <c:v>58692.889981881111</c:v>
                </c:pt>
                <c:pt idx="17">
                  <c:v>57239.158160509745</c:v>
                </c:pt>
                <c:pt idx="18">
                  <c:v>55760.712898175072</c:v>
                </c:pt>
                <c:pt idx="19">
                  <c:v>54257.134066380706</c:v>
                </c:pt>
                <c:pt idx="20">
                  <c:v>52727.994394445835</c:v>
                </c:pt>
                <c:pt idx="21">
                  <c:v>51172.859348088074</c:v>
                </c:pt>
                <c:pt idx="22">
                  <c:v>49591.287005942228</c:v>
                </c:pt>
                <c:pt idx="23">
                  <c:v>47982.827933979905</c:v>
                </c:pt>
                <c:pt idx="24">
                  <c:v>46347.025057794221</c:v>
                </c:pt>
                <c:pt idx="25">
                  <c:v>44683.413532713384</c:v>
                </c:pt>
                <c:pt idx="26">
                  <c:v>42991.520611706175</c:v>
                </c:pt>
                <c:pt idx="27">
                  <c:v>41270.86551104184</c:v>
                </c:pt>
                <c:pt idx="28">
                  <c:v>39520.959273666216</c:v>
                </c:pt>
                <c:pt idx="29">
                  <c:v>37741.304630255203</c:v>
                </c:pt>
                <c:pt idx="30">
                  <c:v>35931.395857906202</c:v>
                </c:pt>
                <c:pt idx="31">
                  <c:v>34090.718636427271</c:v>
                </c:pt>
                <c:pt idx="32">
                  <c:v>32218.749902183201</c:v>
                </c:pt>
                <c:pt idx="33">
                  <c:v>30314.95769945698</c:v>
                </c:pt>
                <c:pt idx="34">
                  <c:v>28378.801029284416</c:v>
                </c:pt>
                <c:pt idx="35">
                  <c:v>26409.729695718917</c:v>
                </c:pt>
                <c:pt idx="36">
                  <c:v>24407.184149482808</c:v>
                </c:pt>
                <c:pt idx="37">
                  <c:v>22370.595328960684</c:v>
                </c:pt>
                <c:pt idx="38">
                  <c:v>20299.38449848969</c:v>
                </c:pt>
                <c:pt idx="39">
                  <c:v>18192.96308390069</c:v>
                </c:pt>
                <c:pt idx="40">
                  <c:v>16050.732505263677</c:v>
                </c:pt>
                <c:pt idx="41">
                  <c:v>13872.084006789832</c:v>
                </c:pt>
                <c:pt idx="42">
                  <c:v>11656.398483841935</c:v>
                </c:pt>
                <c:pt idx="43">
                  <c:v>9403.0463070039277</c:v>
                </c:pt>
                <c:pt idx="44">
                  <c:v>7111.387143159679</c:v>
                </c:pt>
                <c:pt idx="45">
                  <c:v>4780.769773530079</c:v>
                </c:pt>
                <c:pt idx="46">
                  <c:v>2410.5319086167865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A39-4D84-9108-48F9C2E1FF28}"/>
            </c:ext>
          </c:extLst>
        </c:ser>
        <c:ser>
          <c:idx val="2"/>
          <c:order val="2"/>
          <c:tx>
            <c:v>Potencializada</c:v>
          </c:tx>
          <c:marker>
            <c:symbol val="none"/>
          </c:marker>
          <c:cat>
            <c:numRef>
              <c:f>Cenarios_Fin!$AI$35:$AI$94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Cenarios_Fin!$AL$35:$AL$94</c:f>
              <c:numCache>
                <c:formatCode>General</c:formatCode>
                <c:ptCount val="60"/>
                <c:pt idx="0">
                  <c:v>78908.489048936652</c:v>
                </c:pt>
                <c:pt idx="1">
                  <c:v>77798.422411705222</c:v>
                </c:pt>
                <c:pt idx="2">
                  <c:v>76669.484641640869</c:v>
                </c:pt>
                <c:pt idx="3">
                  <c:v>75521.354929485417</c:v>
                </c:pt>
                <c:pt idx="4">
                  <c:v>74353.707012223327</c:v>
                </c:pt>
                <c:pt idx="5">
                  <c:v>73166.209080367786</c:v>
                </c:pt>
                <c:pt idx="6">
                  <c:v>71958.52368367069</c:v>
                </c:pt>
                <c:pt idx="7">
                  <c:v>70730.30763522975</c:v>
                </c:pt>
                <c:pt idx="8">
                  <c:v>69481.211913965308</c:v>
                </c:pt>
                <c:pt idx="9">
                  <c:v>68210.881565439369</c:v>
                </c:pt>
                <c:pt idx="10">
                  <c:v>66918.955600988498</c:v>
                </c:pt>
                <c:pt idx="11">
                  <c:v>65605.066895141965</c:v>
                </c:pt>
                <c:pt idx="12">
                  <c:v>64268.842081296032</c:v>
                </c:pt>
                <c:pt idx="13">
                  <c:v>62909.90144561472</c:v>
                </c:pt>
                <c:pt idx="14">
                  <c:v>61527.858819126828</c:v>
                </c:pt>
                <c:pt idx="15">
                  <c:v>60122.321467988644</c:v>
                </c:pt>
                <c:pt idx="16">
                  <c:v>58692.889981881104</c:v>
                </c:pt>
                <c:pt idx="17">
                  <c:v>57239.158160509731</c:v>
                </c:pt>
                <c:pt idx="18">
                  <c:v>55760.71289817505</c:v>
                </c:pt>
                <c:pt idx="19">
                  <c:v>54257.134066380677</c:v>
                </c:pt>
                <c:pt idx="20">
                  <c:v>52727.994394445799</c:v>
                </c:pt>
                <c:pt idx="21">
                  <c:v>51172.85934808803</c:v>
                </c:pt>
                <c:pt idx="22">
                  <c:v>49591.287005942184</c:v>
                </c:pt>
                <c:pt idx="23">
                  <c:v>47982.827933979854</c:v>
                </c:pt>
                <c:pt idx="24">
                  <c:v>46347.02505779417</c:v>
                </c:pt>
                <c:pt idx="25">
                  <c:v>44683.413532713326</c:v>
                </c:pt>
                <c:pt idx="26">
                  <c:v>42991.520611706102</c:v>
                </c:pt>
                <c:pt idx="27">
                  <c:v>41270.86551104176</c:v>
                </c:pt>
                <c:pt idx="28">
                  <c:v>39520.959273666122</c:v>
                </c:pt>
                <c:pt idx="29">
                  <c:v>37741.304630255101</c:v>
                </c:pt>
                <c:pt idx="30">
                  <c:v>35931.395857906093</c:v>
                </c:pt>
                <c:pt idx="31">
                  <c:v>34090.718636427155</c:v>
                </c:pt>
                <c:pt idx="32">
                  <c:v>32218.74990218307</c:v>
                </c:pt>
                <c:pt idx="33">
                  <c:v>30314.957699456834</c:v>
                </c:pt>
                <c:pt idx="34">
                  <c:v>28378.801029284255</c:v>
                </c:pt>
                <c:pt idx="35">
                  <c:v>26409.729695718743</c:v>
                </c:pt>
                <c:pt idx="36">
                  <c:v>24407.184149482615</c:v>
                </c:pt>
                <c:pt idx="37">
                  <c:v>22370.595328960473</c:v>
                </c:pt>
                <c:pt idx="38">
                  <c:v>20299.384498489457</c:v>
                </c:pt>
                <c:pt idx="39">
                  <c:v>18192.963083900431</c:v>
                </c:pt>
                <c:pt idx="40">
                  <c:v>16050.732505263391</c:v>
                </c:pt>
                <c:pt idx="41">
                  <c:v>13872.084006789522</c:v>
                </c:pt>
                <c:pt idx="42">
                  <c:v>11656.398483841598</c:v>
                </c:pt>
                <c:pt idx="43">
                  <c:v>9403.0463070035603</c:v>
                </c:pt>
                <c:pt idx="44">
                  <c:v>7111.3871431592752</c:v>
                </c:pt>
                <c:pt idx="45">
                  <c:v>4780.769773529637</c:v>
                </c:pt>
                <c:pt idx="46">
                  <c:v>2410.5319086162949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A39-4D84-9108-48F9C2E1F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Pagamento mensal por estratégia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Baseline</c:v>
          </c:tx>
          <c:marker>
            <c:symbol val="none"/>
          </c:marker>
          <c:cat>
            <c:numRef>
              <c:f>Cenarios_Fin!$AM$35:$AM$94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Cenarios_Fin!$AN$35:$AN$94</c:f>
              <c:numCache>
                <c:formatCode>General</c:formatCode>
                <c:ptCount val="60"/>
                <c:pt idx="0">
                  <c:v>2451.5109510633461</c:v>
                </c:pt>
                <c:pt idx="1">
                  <c:v>2451.5109510633461</c:v>
                </c:pt>
                <c:pt idx="2">
                  <c:v>2451.5109510633451</c:v>
                </c:pt>
                <c:pt idx="3">
                  <c:v>2451.5109510633456</c:v>
                </c:pt>
                <c:pt idx="4">
                  <c:v>2451.5109510633451</c:v>
                </c:pt>
                <c:pt idx="5">
                  <c:v>2451.5109510633451</c:v>
                </c:pt>
                <c:pt idx="6">
                  <c:v>2451.5109510633451</c:v>
                </c:pt>
                <c:pt idx="7">
                  <c:v>2451.5109510633451</c:v>
                </c:pt>
                <c:pt idx="8">
                  <c:v>2451.5109510633447</c:v>
                </c:pt>
                <c:pt idx="9">
                  <c:v>2451.5109510633447</c:v>
                </c:pt>
                <c:pt idx="10">
                  <c:v>2451.5109510633438</c:v>
                </c:pt>
                <c:pt idx="11">
                  <c:v>2451.5109510633442</c:v>
                </c:pt>
                <c:pt idx="12">
                  <c:v>2451.5109510633433</c:v>
                </c:pt>
                <c:pt idx="13">
                  <c:v>2451.5109510633442</c:v>
                </c:pt>
                <c:pt idx="14">
                  <c:v>2451.5109510633433</c:v>
                </c:pt>
                <c:pt idx="15">
                  <c:v>2451.5109510633429</c:v>
                </c:pt>
                <c:pt idx="16">
                  <c:v>2451.5109510633424</c:v>
                </c:pt>
                <c:pt idx="17">
                  <c:v>2451.5109510633424</c:v>
                </c:pt>
                <c:pt idx="18">
                  <c:v>2451.5109510633424</c:v>
                </c:pt>
                <c:pt idx="19">
                  <c:v>2451.5109510633424</c:v>
                </c:pt>
                <c:pt idx="20">
                  <c:v>2451.510951063342</c:v>
                </c:pt>
                <c:pt idx="21">
                  <c:v>2451.510951063342</c:v>
                </c:pt>
                <c:pt idx="22">
                  <c:v>2451.5109510633406</c:v>
                </c:pt>
                <c:pt idx="23">
                  <c:v>2451.5109510633392</c:v>
                </c:pt>
                <c:pt idx="24">
                  <c:v>2451.5109510633392</c:v>
                </c:pt>
                <c:pt idx="25">
                  <c:v>2451.5109510633397</c:v>
                </c:pt>
                <c:pt idx="26">
                  <c:v>2451.5109510633388</c:v>
                </c:pt>
                <c:pt idx="27">
                  <c:v>2451.5109510633379</c:v>
                </c:pt>
                <c:pt idx="28">
                  <c:v>2451.5109510633383</c:v>
                </c:pt>
                <c:pt idx="29">
                  <c:v>2451.5109510633379</c:v>
                </c:pt>
                <c:pt idx="30">
                  <c:v>2451.5109510633365</c:v>
                </c:pt>
                <c:pt idx="31">
                  <c:v>2451.5109510633356</c:v>
                </c:pt>
                <c:pt idx="32">
                  <c:v>2451.5109510633342</c:v>
                </c:pt>
                <c:pt idx="33">
                  <c:v>2451.5109510633347</c:v>
                </c:pt>
                <c:pt idx="34">
                  <c:v>2451.5109510633329</c:v>
                </c:pt>
                <c:pt idx="35">
                  <c:v>2451.5109510633324</c:v>
                </c:pt>
                <c:pt idx="36">
                  <c:v>2451.5109510633315</c:v>
                </c:pt>
                <c:pt idx="37">
                  <c:v>2451.5109510633306</c:v>
                </c:pt>
                <c:pt idx="38">
                  <c:v>2451.5109510633274</c:v>
                </c:pt>
                <c:pt idx="39">
                  <c:v>2451.5109510633247</c:v>
                </c:pt>
                <c:pt idx="40">
                  <c:v>2451.5109510633247</c:v>
                </c:pt>
                <c:pt idx="41">
                  <c:v>2451.510951063327</c:v>
                </c:pt>
                <c:pt idx="42">
                  <c:v>2451.5109510633238</c:v>
                </c:pt>
                <c:pt idx="43">
                  <c:v>2451.5109510633201</c:v>
                </c:pt>
                <c:pt idx="44">
                  <c:v>2451.5109510633156</c:v>
                </c:pt>
                <c:pt idx="45">
                  <c:v>2451.5109510633147</c:v>
                </c:pt>
                <c:pt idx="46">
                  <c:v>2451.5109510633038</c:v>
                </c:pt>
                <c:pt idx="47">
                  <c:v>2451.510951063281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203-44E1-92FC-0EA8CE827901}"/>
            </c:ext>
          </c:extLst>
        </c:ser>
        <c:ser>
          <c:idx val="1"/>
          <c:order val="1"/>
          <c:tx>
            <c:v>Normal</c:v>
          </c:tx>
          <c:marker>
            <c:symbol val="none"/>
          </c:marker>
          <c:cat>
            <c:numRef>
              <c:f>Cenarios_Fin!$AM$35:$AM$94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Cenarios_Fin!$AO$35:$AO$94</c:f>
              <c:numCache>
                <c:formatCode>General</c:formatCode>
                <c:ptCount val="60"/>
                <c:pt idx="0">
                  <c:v>2451.5109510633461</c:v>
                </c:pt>
                <c:pt idx="1">
                  <c:v>2451.5109510633461</c:v>
                </c:pt>
                <c:pt idx="2">
                  <c:v>2451.5109510633451</c:v>
                </c:pt>
                <c:pt idx="3">
                  <c:v>2451.5109510633456</c:v>
                </c:pt>
                <c:pt idx="4">
                  <c:v>2451.5109510633451</c:v>
                </c:pt>
                <c:pt idx="5">
                  <c:v>2451.5109510633451</c:v>
                </c:pt>
                <c:pt idx="6">
                  <c:v>2451.5109510633451</c:v>
                </c:pt>
                <c:pt idx="7">
                  <c:v>2451.5109510633451</c:v>
                </c:pt>
                <c:pt idx="8">
                  <c:v>2451.5109510633447</c:v>
                </c:pt>
                <c:pt idx="9">
                  <c:v>2451.5109510633447</c:v>
                </c:pt>
                <c:pt idx="10">
                  <c:v>2451.5109510633438</c:v>
                </c:pt>
                <c:pt idx="11">
                  <c:v>2451.5109510633442</c:v>
                </c:pt>
                <c:pt idx="12">
                  <c:v>2451.5109510633433</c:v>
                </c:pt>
                <c:pt idx="13">
                  <c:v>2451.5109510633442</c:v>
                </c:pt>
                <c:pt idx="14">
                  <c:v>2451.5109510633433</c:v>
                </c:pt>
                <c:pt idx="15">
                  <c:v>2451.5109510633429</c:v>
                </c:pt>
                <c:pt idx="16">
                  <c:v>2451.5109510633424</c:v>
                </c:pt>
                <c:pt idx="17">
                  <c:v>2451.5109510633424</c:v>
                </c:pt>
                <c:pt idx="18">
                  <c:v>2451.5109510633424</c:v>
                </c:pt>
                <c:pt idx="19">
                  <c:v>2451.5109510633424</c:v>
                </c:pt>
                <c:pt idx="20">
                  <c:v>2451.510951063342</c:v>
                </c:pt>
                <c:pt idx="21">
                  <c:v>2451.510951063342</c:v>
                </c:pt>
                <c:pt idx="22">
                  <c:v>2451.5109510633406</c:v>
                </c:pt>
                <c:pt idx="23">
                  <c:v>2451.5109510633392</c:v>
                </c:pt>
                <c:pt idx="24">
                  <c:v>2451.5109510633392</c:v>
                </c:pt>
                <c:pt idx="25">
                  <c:v>2451.5109510633397</c:v>
                </c:pt>
                <c:pt idx="26">
                  <c:v>2451.5109510633388</c:v>
                </c:pt>
                <c:pt idx="27">
                  <c:v>2451.5109510633379</c:v>
                </c:pt>
                <c:pt idx="28">
                  <c:v>2451.5109510633383</c:v>
                </c:pt>
                <c:pt idx="29">
                  <c:v>2451.5109510633379</c:v>
                </c:pt>
                <c:pt idx="30">
                  <c:v>2451.5109510633365</c:v>
                </c:pt>
                <c:pt idx="31">
                  <c:v>2451.5109510633356</c:v>
                </c:pt>
                <c:pt idx="32">
                  <c:v>2451.5109510633342</c:v>
                </c:pt>
                <c:pt idx="33">
                  <c:v>2451.5109510633347</c:v>
                </c:pt>
                <c:pt idx="34">
                  <c:v>2451.5109510633329</c:v>
                </c:pt>
                <c:pt idx="35">
                  <c:v>2451.5109510633324</c:v>
                </c:pt>
                <c:pt idx="36">
                  <c:v>2451.5109510633315</c:v>
                </c:pt>
                <c:pt idx="37">
                  <c:v>2451.5109510633306</c:v>
                </c:pt>
                <c:pt idx="38">
                  <c:v>2451.5109510633274</c:v>
                </c:pt>
                <c:pt idx="39">
                  <c:v>2451.5109510633247</c:v>
                </c:pt>
                <c:pt idx="40">
                  <c:v>2451.5109510633247</c:v>
                </c:pt>
                <c:pt idx="41">
                  <c:v>2451.510951063327</c:v>
                </c:pt>
                <c:pt idx="42">
                  <c:v>2451.5109510633238</c:v>
                </c:pt>
                <c:pt idx="43">
                  <c:v>2451.5109510633201</c:v>
                </c:pt>
                <c:pt idx="44">
                  <c:v>2451.5109510633156</c:v>
                </c:pt>
                <c:pt idx="45">
                  <c:v>2451.5109510633147</c:v>
                </c:pt>
                <c:pt idx="46">
                  <c:v>2451.5109510633038</c:v>
                </c:pt>
                <c:pt idx="47">
                  <c:v>2451.510951063281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203-44E1-92FC-0EA8CE827901}"/>
            </c:ext>
          </c:extLst>
        </c:ser>
        <c:ser>
          <c:idx val="2"/>
          <c:order val="2"/>
          <c:tx>
            <c:v>Potencializada</c:v>
          </c:tx>
          <c:marker>
            <c:symbol val="none"/>
          </c:marker>
          <c:cat>
            <c:numRef>
              <c:f>Cenarios_Fin!$AM$35:$AM$94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Cenarios_Fin!$AP$35:$AP$94</c:f>
              <c:numCache>
                <c:formatCode>General</c:formatCode>
                <c:ptCount val="60"/>
                <c:pt idx="0">
                  <c:v>2451.5109510633461</c:v>
                </c:pt>
                <c:pt idx="1">
                  <c:v>2451.5109510633461</c:v>
                </c:pt>
                <c:pt idx="2">
                  <c:v>2451.5109510633461</c:v>
                </c:pt>
                <c:pt idx="3">
                  <c:v>2451.5109510633461</c:v>
                </c:pt>
                <c:pt idx="4">
                  <c:v>2451.5109510633461</c:v>
                </c:pt>
                <c:pt idx="5">
                  <c:v>2451.5109510633461</c:v>
                </c:pt>
                <c:pt idx="6">
                  <c:v>2451.5109510633461</c:v>
                </c:pt>
                <c:pt idx="7">
                  <c:v>2451.5109510633461</c:v>
                </c:pt>
                <c:pt idx="8">
                  <c:v>2451.5109510633461</c:v>
                </c:pt>
                <c:pt idx="9">
                  <c:v>2451.5109510633461</c:v>
                </c:pt>
                <c:pt idx="10">
                  <c:v>2451.5109510633461</c:v>
                </c:pt>
                <c:pt idx="11">
                  <c:v>2451.5109510633461</c:v>
                </c:pt>
                <c:pt idx="12">
                  <c:v>2451.5109510633461</c:v>
                </c:pt>
                <c:pt idx="13">
                  <c:v>2451.5109510633461</c:v>
                </c:pt>
                <c:pt idx="14">
                  <c:v>2451.5109510633461</c:v>
                </c:pt>
                <c:pt idx="15">
                  <c:v>2451.5109510633461</c:v>
                </c:pt>
                <c:pt idx="16">
                  <c:v>2451.5109510633461</c:v>
                </c:pt>
                <c:pt idx="17">
                  <c:v>2451.5109510633461</c:v>
                </c:pt>
                <c:pt idx="18">
                  <c:v>2451.5109510633461</c:v>
                </c:pt>
                <c:pt idx="19">
                  <c:v>2451.5109510633461</c:v>
                </c:pt>
                <c:pt idx="20">
                  <c:v>2451.5109510633461</c:v>
                </c:pt>
                <c:pt idx="21">
                  <c:v>2451.5109510633461</c:v>
                </c:pt>
                <c:pt idx="22">
                  <c:v>2451.5109510633461</c:v>
                </c:pt>
                <c:pt idx="23">
                  <c:v>2451.5109510633461</c:v>
                </c:pt>
                <c:pt idx="24">
                  <c:v>2451.5109510633461</c:v>
                </c:pt>
                <c:pt idx="25">
                  <c:v>2451.5109510633461</c:v>
                </c:pt>
                <c:pt idx="26">
                  <c:v>2451.5109510633461</c:v>
                </c:pt>
                <c:pt idx="27">
                  <c:v>2451.5109510633461</c:v>
                </c:pt>
                <c:pt idx="28">
                  <c:v>2451.5109510633461</c:v>
                </c:pt>
                <c:pt idx="29">
                  <c:v>2451.5109510633461</c:v>
                </c:pt>
                <c:pt idx="30">
                  <c:v>2451.5109510633461</c:v>
                </c:pt>
                <c:pt idx="31">
                  <c:v>2451.5109510633461</c:v>
                </c:pt>
                <c:pt idx="32">
                  <c:v>2451.5109510633461</c:v>
                </c:pt>
                <c:pt idx="33">
                  <c:v>2451.5109510633461</c:v>
                </c:pt>
                <c:pt idx="34">
                  <c:v>2451.5109510633461</c:v>
                </c:pt>
                <c:pt idx="35">
                  <c:v>2451.5109510633461</c:v>
                </c:pt>
                <c:pt idx="36">
                  <c:v>2451.5109510633461</c:v>
                </c:pt>
                <c:pt idx="37">
                  <c:v>2451.5109510633461</c:v>
                </c:pt>
                <c:pt idx="38">
                  <c:v>2451.5109510633461</c:v>
                </c:pt>
                <c:pt idx="39">
                  <c:v>2451.5109510633461</c:v>
                </c:pt>
                <c:pt idx="40">
                  <c:v>2451.5109510633461</c:v>
                </c:pt>
                <c:pt idx="41">
                  <c:v>2451.5109510633461</c:v>
                </c:pt>
                <c:pt idx="42">
                  <c:v>2451.5109510633461</c:v>
                </c:pt>
                <c:pt idx="43">
                  <c:v>2451.5109510633461</c:v>
                </c:pt>
                <c:pt idx="44">
                  <c:v>2451.5109510633461</c:v>
                </c:pt>
                <c:pt idx="45">
                  <c:v>2451.5109510633461</c:v>
                </c:pt>
                <c:pt idx="46">
                  <c:v>2451.5109510633461</c:v>
                </c:pt>
                <c:pt idx="47">
                  <c:v>2451.5109510627808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203-44E1-92FC-0EA8CE827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t>Desembolso mensal: EV vs Tiida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Desembolso EV</c:v>
          </c:tx>
          <c:marker>
            <c:symbol val="none"/>
          </c:marker>
          <c:cat>
            <c:numRef>
              <c:f>Fluxo_EV!$R$10:$R$69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Fluxo_EV!$S$10:$S$69</c:f>
              <c:numCache>
                <c:formatCode>General</c:formatCode>
                <c:ptCount val="60"/>
                <c:pt idx="0">
                  <c:v>3835.1536177300131</c:v>
                </c:pt>
                <c:pt idx="1">
                  <c:v>3835.1536177300131</c:v>
                </c:pt>
                <c:pt idx="2">
                  <c:v>3835.1536177300131</c:v>
                </c:pt>
                <c:pt idx="3">
                  <c:v>3835.1536177300131</c:v>
                </c:pt>
                <c:pt idx="4">
                  <c:v>3835.1536177300131</c:v>
                </c:pt>
                <c:pt idx="5">
                  <c:v>3835.1536177300131</c:v>
                </c:pt>
                <c:pt idx="6">
                  <c:v>3835.1536177300131</c:v>
                </c:pt>
                <c:pt idx="7">
                  <c:v>3835.1536177300131</c:v>
                </c:pt>
                <c:pt idx="8">
                  <c:v>3835.1536177300131</c:v>
                </c:pt>
                <c:pt idx="9">
                  <c:v>3835.1536177300131</c:v>
                </c:pt>
                <c:pt idx="10">
                  <c:v>3835.1536177300131</c:v>
                </c:pt>
                <c:pt idx="11">
                  <c:v>3835.1536177300131</c:v>
                </c:pt>
                <c:pt idx="12">
                  <c:v>3835.1536177300131</c:v>
                </c:pt>
                <c:pt idx="13">
                  <c:v>3835.1536177300131</c:v>
                </c:pt>
                <c:pt idx="14">
                  <c:v>3835.1536177300131</c:v>
                </c:pt>
                <c:pt idx="15">
                  <c:v>3835.1536177300131</c:v>
                </c:pt>
                <c:pt idx="16">
                  <c:v>3835.1536177300131</c:v>
                </c:pt>
                <c:pt idx="17">
                  <c:v>3835.1536177300131</c:v>
                </c:pt>
                <c:pt idx="18">
                  <c:v>3835.1536177300131</c:v>
                </c:pt>
                <c:pt idx="19">
                  <c:v>3835.1536177300131</c:v>
                </c:pt>
                <c:pt idx="20">
                  <c:v>3835.1536177300131</c:v>
                </c:pt>
                <c:pt idx="21">
                  <c:v>3835.1536177300131</c:v>
                </c:pt>
                <c:pt idx="22">
                  <c:v>3835.1536177300131</c:v>
                </c:pt>
                <c:pt idx="23">
                  <c:v>3835.1536177300131</c:v>
                </c:pt>
                <c:pt idx="24">
                  <c:v>3835.1536177300131</c:v>
                </c:pt>
                <c:pt idx="25">
                  <c:v>3835.1536177300131</c:v>
                </c:pt>
                <c:pt idx="26">
                  <c:v>3835.1536177300131</c:v>
                </c:pt>
                <c:pt idx="27">
                  <c:v>3835.1536177300131</c:v>
                </c:pt>
                <c:pt idx="28">
                  <c:v>3835.1536177300131</c:v>
                </c:pt>
                <c:pt idx="29">
                  <c:v>3835.1536177300131</c:v>
                </c:pt>
                <c:pt idx="30">
                  <c:v>3835.1536177300131</c:v>
                </c:pt>
                <c:pt idx="31">
                  <c:v>3835.1536177300131</c:v>
                </c:pt>
                <c:pt idx="32">
                  <c:v>3835.1536177300131</c:v>
                </c:pt>
                <c:pt idx="33">
                  <c:v>3835.1536177300131</c:v>
                </c:pt>
                <c:pt idx="34">
                  <c:v>3835.1536177300131</c:v>
                </c:pt>
                <c:pt idx="35">
                  <c:v>3835.1536177300131</c:v>
                </c:pt>
                <c:pt idx="36">
                  <c:v>3835.1536177300131</c:v>
                </c:pt>
                <c:pt idx="37">
                  <c:v>3835.1536177300131</c:v>
                </c:pt>
                <c:pt idx="38">
                  <c:v>3835.1536177300131</c:v>
                </c:pt>
                <c:pt idx="39">
                  <c:v>3835.1536177300131</c:v>
                </c:pt>
                <c:pt idx="40">
                  <c:v>3835.1536177300131</c:v>
                </c:pt>
                <c:pt idx="41">
                  <c:v>3835.1536177300131</c:v>
                </c:pt>
                <c:pt idx="42">
                  <c:v>3835.1536177300131</c:v>
                </c:pt>
                <c:pt idx="43">
                  <c:v>3835.1536177300131</c:v>
                </c:pt>
                <c:pt idx="44">
                  <c:v>3835.1536177300131</c:v>
                </c:pt>
                <c:pt idx="45">
                  <c:v>3835.1536177300131</c:v>
                </c:pt>
                <c:pt idx="46">
                  <c:v>3835.1536177300131</c:v>
                </c:pt>
                <c:pt idx="47">
                  <c:v>3835.1536177294474</c:v>
                </c:pt>
                <c:pt idx="48">
                  <c:v>1383.6426666666669</c:v>
                </c:pt>
                <c:pt idx="49">
                  <c:v>1383.6426666666669</c:v>
                </c:pt>
                <c:pt idx="50">
                  <c:v>1383.6426666666669</c:v>
                </c:pt>
                <c:pt idx="51">
                  <c:v>1383.6426666666669</c:v>
                </c:pt>
                <c:pt idx="52">
                  <c:v>1383.6426666666669</c:v>
                </c:pt>
                <c:pt idx="53">
                  <c:v>1383.6426666666669</c:v>
                </c:pt>
                <c:pt idx="54">
                  <c:v>1383.6426666666669</c:v>
                </c:pt>
                <c:pt idx="55">
                  <c:v>1383.6426666666669</c:v>
                </c:pt>
                <c:pt idx="56">
                  <c:v>1383.6426666666669</c:v>
                </c:pt>
                <c:pt idx="57">
                  <c:v>1383.6426666666669</c:v>
                </c:pt>
                <c:pt idx="58">
                  <c:v>1383.6426666666669</c:v>
                </c:pt>
                <c:pt idx="59">
                  <c:v>1383.6426666666669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B4E-434A-83E5-3894892FFCCC}"/>
            </c:ext>
          </c:extLst>
        </c:ser>
        <c:ser>
          <c:idx val="1"/>
          <c:order val="1"/>
          <c:tx>
            <c:v>Tiida</c:v>
          </c:tx>
          <c:marker>
            <c:symbol val="none"/>
          </c:marker>
          <c:cat>
            <c:numRef>
              <c:f>Fluxo_EV!$R$10:$R$69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Fluxo_EV!$T$10:$T$69</c:f>
              <c:numCache>
                <c:formatCode>General</c:formatCode>
                <c:ptCount val="60"/>
                <c:pt idx="0">
                  <c:v>2304.5500000000002</c:v>
                </c:pt>
                <c:pt idx="1">
                  <c:v>2304.5500000000002</c:v>
                </c:pt>
                <c:pt idx="2">
                  <c:v>2304.5500000000002</c:v>
                </c:pt>
                <c:pt idx="3">
                  <c:v>2304.5500000000002</c:v>
                </c:pt>
                <c:pt idx="4">
                  <c:v>2304.5500000000002</c:v>
                </c:pt>
                <c:pt idx="5">
                  <c:v>2304.5500000000002</c:v>
                </c:pt>
                <c:pt idx="6">
                  <c:v>2304.5500000000002</c:v>
                </c:pt>
                <c:pt idx="7">
                  <c:v>2304.5500000000002</c:v>
                </c:pt>
                <c:pt idx="8">
                  <c:v>2304.5500000000002</c:v>
                </c:pt>
                <c:pt idx="9">
                  <c:v>2304.5500000000002</c:v>
                </c:pt>
                <c:pt idx="10">
                  <c:v>2304.5500000000002</c:v>
                </c:pt>
                <c:pt idx="11">
                  <c:v>2304.5500000000002</c:v>
                </c:pt>
                <c:pt idx="12">
                  <c:v>2304.5500000000002</c:v>
                </c:pt>
                <c:pt idx="13">
                  <c:v>2304.5500000000002</c:v>
                </c:pt>
                <c:pt idx="14">
                  <c:v>2304.5500000000002</c:v>
                </c:pt>
                <c:pt idx="15">
                  <c:v>2304.5500000000002</c:v>
                </c:pt>
                <c:pt idx="16">
                  <c:v>2304.5500000000002</c:v>
                </c:pt>
                <c:pt idx="17">
                  <c:v>2304.5500000000002</c:v>
                </c:pt>
                <c:pt idx="18">
                  <c:v>2304.5500000000002</c:v>
                </c:pt>
                <c:pt idx="19">
                  <c:v>2304.5500000000002</c:v>
                </c:pt>
                <c:pt idx="20">
                  <c:v>2304.5500000000002</c:v>
                </c:pt>
                <c:pt idx="21">
                  <c:v>2304.5500000000002</c:v>
                </c:pt>
                <c:pt idx="22">
                  <c:v>2304.5500000000002</c:v>
                </c:pt>
                <c:pt idx="23">
                  <c:v>2304.5500000000002</c:v>
                </c:pt>
                <c:pt idx="24">
                  <c:v>2304.5500000000002</c:v>
                </c:pt>
                <c:pt idx="25">
                  <c:v>2304.5500000000002</c:v>
                </c:pt>
                <c:pt idx="26">
                  <c:v>2304.5500000000002</c:v>
                </c:pt>
                <c:pt idx="27">
                  <c:v>2304.5500000000002</c:v>
                </c:pt>
                <c:pt idx="28">
                  <c:v>2304.5500000000002</c:v>
                </c:pt>
                <c:pt idx="29">
                  <c:v>2304.5500000000002</c:v>
                </c:pt>
                <c:pt idx="30">
                  <c:v>2304.5500000000002</c:v>
                </c:pt>
                <c:pt idx="31">
                  <c:v>2304.5500000000002</c:v>
                </c:pt>
                <c:pt idx="32">
                  <c:v>2304.5500000000002</c:v>
                </c:pt>
                <c:pt idx="33">
                  <c:v>2304.5500000000002</c:v>
                </c:pt>
                <c:pt idx="34">
                  <c:v>2304.5500000000002</c:v>
                </c:pt>
                <c:pt idx="35">
                  <c:v>2304.5500000000002</c:v>
                </c:pt>
                <c:pt idx="36">
                  <c:v>2304.5500000000002</c:v>
                </c:pt>
                <c:pt idx="37">
                  <c:v>2304.5500000000002</c:v>
                </c:pt>
                <c:pt idx="38">
                  <c:v>2304.5500000000002</c:v>
                </c:pt>
                <c:pt idx="39">
                  <c:v>2304.5500000000002</c:v>
                </c:pt>
                <c:pt idx="40">
                  <c:v>2304.5500000000002</c:v>
                </c:pt>
                <c:pt idx="41">
                  <c:v>2304.5500000000002</c:v>
                </c:pt>
                <c:pt idx="42">
                  <c:v>2304.5500000000002</c:v>
                </c:pt>
                <c:pt idx="43">
                  <c:v>2304.5500000000002</c:v>
                </c:pt>
                <c:pt idx="44">
                  <c:v>2304.5500000000002</c:v>
                </c:pt>
                <c:pt idx="45">
                  <c:v>2304.5500000000002</c:v>
                </c:pt>
                <c:pt idx="46">
                  <c:v>2304.5500000000002</c:v>
                </c:pt>
                <c:pt idx="47">
                  <c:v>2304.5500000000002</c:v>
                </c:pt>
                <c:pt idx="48">
                  <c:v>2304.5500000000002</c:v>
                </c:pt>
                <c:pt idx="49">
                  <c:v>2304.5500000000002</c:v>
                </c:pt>
                <c:pt idx="50">
                  <c:v>2304.5500000000002</c:v>
                </c:pt>
                <c:pt idx="51">
                  <c:v>2304.5500000000002</c:v>
                </c:pt>
                <c:pt idx="52">
                  <c:v>2304.5500000000002</c:v>
                </c:pt>
                <c:pt idx="53">
                  <c:v>2304.5500000000002</c:v>
                </c:pt>
                <c:pt idx="54">
                  <c:v>2304.5500000000002</c:v>
                </c:pt>
                <c:pt idx="55">
                  <c:v>2304.5500000000002</c:v>
                </c:pt>
                <c:pt idx="56">
                  <c:v>2304.5500000000002</c:v>
                </c:pt>
                <c:pt idx="57">
                  <c:v>2304.5500000000002</c:v>
                </c:pt>
                <c:pt idx="58">
                  <c:v>2304.5500000000002</c:v>
                </c:pt>
                <c:pt idx="59">
                  <c:v>2304.5500000000002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B4E-434A-83E5-3894892FF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t>Parcela líquida da troca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Desembolso EV</c:v>
          </c:tx>
          <c:marker>
            <c:symbol val="none"/>
          </c:marker>
          <c:cat>
            <c:numRef>
              <c:f>Fluxo_EV!$R$10:$R$69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Fluxo_EV!$S$10:$S$69</c:f>
              <c:numCache>
                <c:formatCode>General</c:formatCode>
                <c:ptCount val="60"/>
                <c:pt idx="0">
                  <c:v>3835.1536177300131</c:v>
                </c:pt>
                <c:pt idx="1">
                  <c:v>3835.1536177300131</c:v>
                </c:pt>
                <c:pt idx="2">
                  <c:v>3835.1536177300131</c:v>
                </c:pt>
                <c:pt idx="3">
                  <c:v>3835.1536177300131</c:v>
                </c:pt>
                <c:pt idx="4">
                  <c:v>3835.1536177300131</c:v>
                </c:pt>
                <c:pt idx="5">
                  <c:v>3835.1536177300131</c:v>
                </c:pt>
                <c:pt idx="6">
                  <c:v>3835.1536177300131</c:v>
                </c:pt>
                <c:pt idx="7">
                  <c:v>3835.1536177300131</c:v>
                </c:pt>
                <c:pt idx="8">
                  <c:v>3835.1536177300131</c:v>
                </c:pt>
                <c:pt idx="9">
                  <c:v>3835.1536177300131</c:v>
                </c:pt>
                <c:pt idx="10">
                  <c:v>3835.1536177300131</c:v>
                </c:pt>
                <c:pt idx="11">
                  <c:v>3835.1536177300131</c:v>
                </c:pt>
                <c:pt idx="12">
                  <c:v>3835.1536177300131</c:v>
                </c:pt>
                <c:pt idx="13">
                  <c:v>3835.1536177300131</c:v>
                </c:pt>
                <c:pt idx="14">
                  <c:v>3835.1536177300131</c:v>
                </c:pt>
                <c:pt idx="15">
                  <c:v>3835.1536177300131</c:v>
                </c:pt>
                <c:pt idx="16">
                  <c:v>3835.1536177300131</c:v>
                </c:pt>
                <c:pt idx="17">
                  <c:v>3835.1536177300131</c:v>
                </c:pt>
                <c:pt idx="18">
                  <c:v>3835.1536177300131</c:v>
                </c:pt>
                <c:pt idx="19">
                  <c:v>3835.1536177300131</c:v>
                </c:pt>
                <c:pt idx="20">
                  <c:v>3835.1536177300131</c:v>
                </c:pt>
                <c:pt idx="21">
                  <c:v>3835.1536177300131</c:v>
                </c:pt>
                <c:pt idx="22">
                  <c:v>3835.1536177300131</c:v>
                </c:pt>
                <c:pt idx="23">
                  <c:v>3835.1536177300131</c:v>
                </c:pt>
                <c:pt idx="24">
                  <c:v>3835.1536177300131</c:v>
                </c:pt>
                <c:pt idx="25">
                  <c:v>3835.1536177300131</c:v>
                </c:pt>
                <c:pt idx="26">
                  <c:v>3835.1536177300131</c:v>
                </c:pt>
                <c:pt idx="27">
                  <c:v>3835.1536177300131</c:v>
                </c:pt>
                <c:pt idx="28">
                  <c:v>3835.1536177300131</c:v>
                </c:pt>
                <c:pt idx="29">
                  <c:v>3835.1536177300131</c:v>
                </c:pt>
                <c:pt idx="30">
                  <c:v>3835.1536177300131</c:v>
                </c:pt>
                <c:pt idx="31">
                  <c:v>3835.1536177300131</c:v>
                </c:pt>
                <c:pt idx="32">
                  <c:v>3835.1536177300131</c:v>
                </c:pt>
                <c:pt idx="33">
                  <c:v>3835.1536177300131</c:v>
                </c:pt>
                <c:pt idx="34">
                  <c:v>3835.1536177300131</c:v>
                </c:pt>
                <c:pt idx="35">
                  <c:v>3835.1536177300131</c:v>
                </c:pt>
                <c:pt idx="36">
                  <c:v>3835.1536177300131</c:v>
                </c:pt>
                <c:pt idx="37">
                  <c:v>3835.1536177300131</c:v>
                </c:pt>
                <c:pt idx="38">
                  <c:v>3835.1536177300131</c:v>
                </c:pt>
                <c:pt idx="39">
                  <c:v>3835.1536177300131</c:v>
                </c:pt>
                <c:pt idx="40">
                  <c:v>3835.1536177300131</c:v>
                </c:pt>
                <c:pt idx="41">
                  <c:v>3835.1536177300131</c:v>
                </c:pt>
                <c:pt idx="42">
                  <c:v>3835.1536177300131</c:v>
                </c:pt>
                <c:pt idx="43">
                  <c:v>3835.1536177300131</c:v>
                </c:pt>
                <c:pt idx="44">
                  <c:v>3835.1536177300131</c:v>
                </c:pt>
                <c:pt idx="45">
                  <c:v>3835.1536177300131</c:v>
                </c:pt>
                <c:pt idx="46">
                  <c:v>3835.1536177300131</c:v>
                </c:pt>
                <c:pt idx="47">
                  <c:v>3835.1536177294474</c:v>
                </c:pt>
                <c:pt idx="48">
                  <c:v>1383.6426666666669</c:v>
                </c:pt>
                <c:pt idx="49">
                  <c:v>1383.6426666666669</c:v>
                </c:pt>
                <c:pt idx="50">
                  <c:v>1383.6426666666669</c:v>
                </c:pt>
                <c:pt idx="51">
                  <c:v>1383.6426666666669</c:v>
                </c:pt>
                <c:pt idx="52">
                  <c:v>1383.6426666666669</c:v>
                </c:pt>
                <c:pt idx="53">
                  <c:v>1383.6426666666669</c:v>
                </c:pt>
                <c:pt idx="54">
                  <c:v>1383.6426666666669</c:v>
                </c:pt>
                <c:pt idx="55">
                  <c:v>1383.6426666666669</c:v>
                </c:pt>
                <c:pt idx="56">
                  <c:v>1383.6426666666669</c:v>
                </c:pt>
                <c:pt idx="57">
                  <c:v>1383.6426666666669</c:v>
                </c:pt>
                <c:pt idx="58">
                  <c:v>1383.6426666666669</c:v>
                </c:pt>
                <c:pt idx="59">
                  <c:v>1383.6426666666669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A9-4358-A517-78855EA877B7}"/>
            </c:ext>
          </c:extLst>
        </c:ser>
        <c:ser>
          <c:idx val="1"/>
          <c:order val="1"/>
          <c:tx>
            <c:v>Tiida</c:v>
          </c:tx>
          <c:marker>
            <c:symbol val="none"/>
          </c:marker>
          <c:cat>
            <c:numRef>
              <c:f>Fluxo_EV!$R$10:$R$69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Fluxo_EV!$T$10:$T$69</c:f>
              <c:numCache>
                <c:formatCode>General</c:formatCode>
                <c:ptCount val="60"/>
                <c:pt idx="0">
                  <c:v>2304.5500000000002</c:v>
                </c:pt>
                <c:pt idx="1">
                  <c:v>2304.5500000000002</c:v>
                </c:pt>
                <c:pt idx="2">
                  <c:v>2304.5500000000002</c:v>
                </c:pt>
                <c:pt idx="3">
                  <c:v>2304.5500000000002</c:v>
                </c:pt>
                <c:pt idx="4">
                  <c:v>2304.5500000000002</c:v>
                </c:pt>
                <c:pt idx="5">
                  <c:v>2304.5500000000002</c:v>
                </c:pt>
                <c:pt idx="6">
                  <c:v>2304.5500000000002</c:v>
                </c:pt>
                <c:pt idx="7">
                  <c:v>2304.5500000000002</c:v>
                </c:pt>
                <c:pt idx="8">
                  <c:v>2304.5500000000002</c:v>
                </c:pt>
                <c:pt idx="9">
                  <c:v>2304.5500000000002</c:v>
                </c:pt>
                <c:pt idx="10">
                  <c:v>2304.5500000000002</c:v>
                </c:pt>
                <c:pt idx="11">
                  <c:v>2304.5500000000002</c:v>
                </c:pt>
                <c:pt idx="12">
                  <c:v>2304.5500000000002</c:v>
                </c:pt>
                <c:pt idx="13">
                  <c:v>2304.5500000000002</c:v>
                </c:pt>
                <c:pt idx="14">
                  <c:v>2304.5500000000002</c:v>
                </c:pt>
                <c:pt idx="15">
                  <c:v>2304.5500000000002</c:v>
                </c:pt>
                <c:pt idx="16">
                  <c:v>2304.5500000000002</c:v>
                </c:pt>
                <c:pt idx="17">
                  <c:v>2304.5500000000002</c:v>
                </c:pt>
                <c:pt idx="18">
                  <c:v>2304.5500000000002</c:v>
                </c:pt>
                <c:pt idx="19">
                  <c:v>2304.5500000000002</c:v>
                </c:pt>
                <c:pt idx="20">
                  <c:v>2304.5500000000002</c:v>
                </c:pt>
                <c:pt idx="21">
                  <c:v>2304.5500000000002</c:v>
                </c:pt>
                <c:pt idx="22">
                  <c:v>2304.5500000000002</c:v>
                </c:pt>
                <c:pt idx="23">
                  <c:v>2304.5500000000002</c:v>
                </c:pt>
                <c:pt idx="24">
                  <c:v>2304.5500000000002</c:v>
                </c:pt>
                <c:pt idx="25">
                  <c:v>2304.5500000000002</c:v>
                </c:pt>
                <c:pt idx="26">
                  <c:v>2304.5500000000002</c:v>
                </c:pt>
                <c:pt idx="27">
                  <c:v>2304.5500000000002</c:v>
                </c:pt>
                <c:pt idx="28">
                  <c:v>2304.5500000000002</c:v>
                </c:pt>
                <c:pt idx="29">
                  <c:v>2304.5500000000002</c:v>
                </c:pt>
                <c:pt idx="30">
                  <c:v>2304.5500000000002</c:v>
                </c:pt>
                <c:pt idx="31">
                  <c:v>2304.5500000000002</c:v>
                </c:pt>
                <c:pt idx="32">
                  <c:v>2304.5500000000002</c:v>
                </c:pt>
                <c:pt idx="33">
                  <c:v>2304.5500000000002</c:v>
                </c:pt>
                <c:pt idx="34">
                  <c:v>2304.5500000000002</c:v>
                </c:pt>
                <c:pt idx="35">
                  <c:v>2304.5500000000002</c:v>
                </c:pt>
                <c:pt idx="36">
                  <c:v>2304.5500000000002</c:v>
                </c:pt>
                <c:pt idx="37">
                  <c:v>2304.5500000000002</c:v>
                </c:pt>
                <c:pt idx="38">
                  <c:v>2304.5500000000002</c:v>
                </c:pt>
                <c:pt idx="39">
                  <c:v>2304.5500000000002</c:v>
                </c:pt>
                <c:pt idx="40">
                  <c:v>2304.5500000000002</c:v>
                </c:pt>
                <c:pt idx="41">
                  <c:v>2304.5500000000002</c:v>
                </c:pt>
                <c:pt idx="42">
                  <c:v>2304.5500000000002</c:v>
                </c:pt>
                <c:pt idx="43">
                  <c:v>2304.5500000000002</c:v>
                </c:pt>
                <c:pt idx="44">
                  <c:v>2304.5500000000002</c:v>
                </c:pt>
                <c:pt idx="45">
                  <c:v>2304.5500000000002</c:v>
                </c:pt>
                <c:pt idx="46">
                  <c:v>2304.5500000000002</c:v>
                </c:pt>
                <c:pt idx="47">
                  <c:v>2304.5500000000002</c:v>
                </c:pt>
                <c:pt idx="48">
                  <c:v>2304.5500000000002</c:v>
                </c:pt>
                <c:pt idx="49">
                  <c:v>2304.5500000000002</c:v>
                </c:pt>
                <c:pt idx="50">
                  <c:v>2304.5500000000002</c:v>
                </c:pt>
                <c:pt idx="51">
                  <c:v>2304.5500000000002</c:v>
                </c:pt>
                <c:pt idx="52">
                  <c:v>2304.5500000000002</c:v>
                </c:pt>
                <c:pt idx="53">
                  <c:v>2304.5500000000002</c:v>
                </c:pt>
                <c:pt idx="54">
                  <c:v>2304.5500000000002</c:v>
                </c:pt>
                <c:pt idx="55">
                  <c:v>2304.5500000000002</c:v>
                </c:pt>
                <c:pt idx="56">
                  <c:v>2304.5500000000002</c:v>
                </c:pt>
                <c:pt idx="57">
                  <c:v>2304.5500000000002</c:v>
                </c:pt>
                <c:pt idx="58">
                  <c:v>2304.5500000000002</c:v>
                </c:pt>
                <c:pt idx="59">
                  <c:v>2304.5500000000002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3A9-4358-A517-78855EA877B7}"/>
            </c:ext>
          </c:extLst>
        </c:ser>
        <c:ser>
          <c:idx val="2"/>
          <c:order val="2"/>
          <c:tx>
            <c:v>Parcela líquida</c:v>
          </c:tx>
          <c:marker>
            <c:symbol val="none"/>
          </c:marker>
          <c:cat>
            <c:numRef>
              <c:f>Fluxo_EV!$R$10:$R$69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Fluxo_EV!$U$10:$U$69</c:f>
              <c:numCache>
                <c:formatCode>General</c:formatCode>
                <c:ptCount val="60"/>
                <c:pt idx="0">
                  <c:v>1530.603617730013</c:v>
                </c:pt>
                <c:pt idx="1">
                  <c:v>1530.603617730013</c:v>
                </c:pt>
                <c:pt idx="2">
                  <c:v>1530.603617730013</c:v>
                </c:pt>
                <c:pt idx="3">
                  <c:v>1530.603617730013</c:v>
                </c:pt>
                <c:pt idx="4">
                  <c:v>1530.603617730013</c:v>
                </c:pt>
                <c:pt idx="5">
                  <c:v>1530.603617730013</c:v>
                </c:pt>
                <c:pt idx="6">
                  <c:v>1530.603617730013</c:v>
                </c:pt>
                <c:pt idx="7">
                  <c:v>1530.603617730013</c:v>
                </c:pt>
                <c:pt idx="8">
                  <c:v>1530.603617730013</c:v>
                </c:pt>
                <c:pt idx="9">
                  <c:v>1530.603617730013</c:v>
                </c:pt>
                <c:pt idx="10">
                  <c:v>1530.603617730013</c:v>
                </c:pt>
                <c:pt idx="11">
                  <c:v>1530.603617730013</c:v>
                </c:pt>
                <c:pt idx="12">
                  <c:v>1530.603617730013</c:v>
                </c:pt>
                <c:pt idx="13">
                  <c:v>1530.603617730013</c:v>
                </c:pt>
                <c:pt idx="14">
                  <c:v>1530.603617730013</c:v>
                </c:pt>
                <c:pt idx="15">
                  <c:v>1530.603617730013</c:v>
                </c:pt>
                <c:pt idx="16">
                  <c:v>1530.603617730013</c:v>
                </c:pt>
                <c:pt idx="17">
                  <c:v>1530.603617730013</c:v>
                </c:pt>
                <c:pt idx="18">
                  <c:v>1530.603617730013</c:v>
                </c:pt>
                <c:pt idx="19">
                  <c:v>1530.603617730013</c:v>
                </c:pt>
                <c:pt idx="20">
                  <c:v>1530.603617730013</c:v>
                </c:pt>
                <c:pt idx="21">
                  <c:v>1530.603617730013</c:v>
                </c:pt>
                <c:pt idx="22">
                  <c:v>1530.603617730013</c:v>
                </c:pt>
                <c:pt idx="23">
                  <c:v>1530.603617730013</c:v>
                </c:pt>
                <c:pt idx="24">
                  <c:v>1530.603617730013</c:v>
                </c:pt>
                <c:pt idx="25">
                  <c:v>1530.603617730013</c:v>
                </c:pt>
                <c:pt idx="26">
                  <c:v>1530.603617730013</c:v>
                </c:pt>
                <c:pt idx="27">
                  <c:v>1530.603617730013</c:v>
                </c:pt>
                <c:pt idx="28">
                  <c:v>1530.603617730013</c:v>
                </c:pt>
                <c:pt idx="29">
                  <c:v>1530.603617730013</c:v>
                </c:pt>
                <c:pt idx="30">
                  <c:v>1530.603617730013</c:v>
                </c:pt>
                <c:pt idx="31">
                  <c:v>1530.603617730013</c:v>
                </c:pt>
                <c:pt idx="32">
                  <c:v>1530.603617730013</c:v>
                </c:pt>
                <c:pt idx="33">
                  <c:v>1530.603617730013</c:v>
                </c:pt>
                <c:pt idx="34">
                  <c:v>1530.603617730013</c:v>
                </c:pt>
                <c:pt idx="35">
                  <c:v>1530.603617730013</c:v>
                </c:pt>
                <c:pt idx="36">
                  <c:v>1530.603617730013</c:v>
                </c:pt>
                <c:pt idx="37">
                  <c:v>1530.603617730013</c:v>
                </c:pt>
                <c:pt idx="38">
                  <c:v>1530.603617730013</c:v>
                </c:pt>
                <c:pt idx="39">
                  <c:v>1530.603617730013</c:v>
                </c:pt>
                <c:pt idx="40">
                  <c:v>1530.603617730013</c:v>
                </c:pt>
                <c:pt idx="41">
                  <c:v>1530.603617730013</c:v>
                </c:pt>
                <c:pt idx="42">
                  <c:v>1530.603617730013</c:v>
                </c:pt>
                <c:pt idx="43">
                  <c:v>1530.603617730013</c:v>
                </c:pt>
                <c:pt idx="44">
                  <c:v>1530.603617730013</c:v>
                </c:pt>
                <c:pt idx="45">
                  <c:v>1530.603617730013</c:v>
                </c:pt>
                <c:pt idx="46">
                  <c:v>1530.603617730013</c:v>
                </c:pt>
                <c:pt idx="47">
                  <c:v>1530.6036177294473</c:v>
                </c:pt>
                <c:pt idx="48">
                  <c:v>-920.90733333333333</c:v>
                </c:pt>
                <c:pt idx="49">
                  <c:v>-920.90733333333333</c:v>
                </c:pt>
                <c:pt idx="50">
                  <c:v>-920.90733333333333</c:v>
                </c:pt>
                <c:pt idx="51">
                  <c:v>-920.90733333333333</c:v>
                </c:pt>
                <c:pt idx="52">
                  <c:v>-920.90733333333333</c:v>
                </c:pt>
                <c:pt idx="53">
                  <c:v>-920.90733333333333</c:v>
                </c:pt>
                <c:pt idx="54">
                  <c:v>-920.90733333333333</c:v>
                </c:pt>
                <c:pt idx="55">
                  <c:v>-920.90733333333333</c:v>
                </c:pt>
                <c:pt idx="56">
                  <c:v>-920.90733333333333</c:v>
                </c:pt>
                <c:pt idx="57">
                  <c:v>-920.90733333333333</c:v>
                </c:pt>
                <c:pt idx="58">
                  <c:v>-920.90733333333333</c:v>
                </c:pt>
                <c:pt idx="59">
                  <c:v>-920.90733333333333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3A9-4358-A517-78855EA87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Combustível x manutenção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Combustível</c:v>
          </c:tx>
          <c:invertIfNegative val="1"/>
          <c:cat>
            <c:strRef>
              <c:f>Historico_Mensal!$A$5:$A$16</c:f>
              <c:strCache>
                <c:ptCount val="12"/>
                <c:pt idx="0">
                  <c:v>out/2025</c:v>
                </c:pt>
                <c:pt idx="1">
                  <c:v>nov/2025</c:v>
                </c:pt>
                <c:pt idx="2">
                  <c:v>dez/2025</c:v>
                </c:pt>
                <c:pt idx="3">
                  <c:v>jan/2026</c:v>
                </c:pt>
                <c:pt idx="4">
                  <c:v>fev/2026</c:v>
                </c:pt>
                <c:pt idx="5">
                  <c:v>mar/2026</c:v>
                </c:pt>
                <c:pt idx="6">
                  <c:v>abr/2026</c:v>
                </c:pt>
                <c:pt idx="7">
                  <c:v>mai/2026</c:v>
                </c:pt>
                <c:pt idx="8">
                  <c:v>jun/2026</c:v>
                </c:pt>
                <c:pt idx="9">
                  <c:v>jul/2026</c:v>
                </c:pt>
                <c:pt idx="10">
                  <c:v>ago/2026</c:v>
                </c:pt>
                <c:pt idx="11">
                  <c:v>set/2026</c:v>
                </c:pt>
              </c:strCache>
            </c:strRef>
          </c:cat>
          <c:val>
            <c:numRef>
              <c:f>Historico_Mensal!$B$5:$B$16</c:f>
              <c:numCache>
                <c:formatCode>\R\$\ #,##0.00;[Red]\(\R\$\ #,##0.00\);\-</c:formatCode>
                <c:ptCount val="12"/>
                <c:pt idx="0">
                  <c:v>1209.1610000000001</c:v>
                </c:pt>
                <c:pt idx="1">
                  <c:v>1199.3440000000003</c:v>
                </c:pt>
                <c:pt idx="2">
                  <c:v>1067.6610000000001</c:v>
                </c:pt>
                <c:pt idx="3">
                  <c:v>919.53</c:v>
                </c:pt>
                <c:pt idx="4">
                  <c:v>981</c:v>
                </c:pt>
                <c:pt idx="5">
                  <c:v>1239.23</c:v>
                </c:pt>
                <c:pt idx="6">
                  <c:v>910.64699999999993</c:v>
                </c:pt>
                <c:pt idx="7">
                  <c:v>1592.5060000000001</c:v>
                </c:pt>
                <c:pt idx="8">
                  <c:v>938.19800000000009</c:v>
                </c:pt>
                <c:pt idx="9">
                  <c:v>751.47399999999993</c:v>
                </c:pt>
                <c:pt idx="10">
                  <c:v>1443.7859999999998</c:v>
                </c:pt>
                <c:pt idx="11">
                  <c:v>539.28700000000003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7-4F7F-809C-081164012B5F}"/>
            </c:ext>
          </c:extLst>
        </c:ser>
        <c:ser>
          <c:idx val="1"/>
          <c:order val="1"/>
          <c:tx>
            <c:v>Serviços</c:v>
          </c:tx>
          <c:invertIfNegative val="1"/>
          <c:cat>
            <c:strRef>
              <c:f>Historico_Mensal!$A$5:$A$16</c:f>
              <c:strCache>
                <c:ptCount val="12"/>
                <c:pt idx="0">
                  <c:v>out/2025</c:v>
                </c:pt>
                <c:pt idx="1">
                  <c:v>nov/2025</c:v>
                </c:pt>
                <c:pt idx="2">
                  <c:v>dez/2025</c:v>
                </c:pt>
                <c:pt idx="3">
                  <c:v>jan/2026</c:v>
                </c:pt>
                <c:pt idx="4">
                  <c:v>fev/2026</c:v>
                </c:pt>
                <c:pt idx="5">
                  <c:v>mar/2026</c:v>
                </c:pt>
                <c:pt idx="6">
                  <c:v>abr/2026</c:v>
                </c:pt>
                <c:pt idx="7">
                  <c:v>mai/2026</c:v>
                </c:pt>
                <c:pt idx="8">
                  <c:v>jun/2026</c:v>
                </c:pt>
                <c:pt idx="9">
                  <c:v>jul/2026</c:v>
                </c:pt>
                <c:pt idx="10">
                  <c:v>ago/2026</c:v>
                </c:pt>
                <c:pt idx="11">
                  <c:v>set/2026</c:v>
                </c:pt>
              </c:strCache>
            </c:strRef>
          </c:cat>
          <c:val>
            <c:numRef>
              <c:f>Historico_Mensal!$C$5:$C$16</c:f>
              <c:numCache>
                <c:formatCode>\R\$\ #,##0.00;[Red]\(\R\$\ #,##0.00\);\-</c:formatCode>
                <c:ptCount val="12"/>
                <c:pt idx="0">
                  <c:v>3693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6980</c:v>
                </c:pt>
                <c:pt idx="6">
                  <c:v>0</c:v>
                </c:pt>
                <c:pt idx="7">
                  <c:v>300</c:v>
                </c:pt>
                <c:pt idx="8">
                  <c:v>4089.6</c:v>
                </c:pt>
                <c:pt idx="9">
                  <c:v>1431</c:v>
                </c:pt>
                <c:pt idx="10">
                  <c:v>0</c:v>
                </c:pt>
                <c:pt idx="11">
                  <c:v>1288.8600000000001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07-4F7F-809C-081164012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R\$\ #,##0.00;[Red]\(\R\$\ #,##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t>Manutenção registrada por ano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Pré-compra</c:v>
          </c:tx>
          <c:invertIfNegative val="1"/>
          <c:cat>
            <c:numRef>
              <c:f>Historico_Manutencao!$J$5:$J$10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Historico_Manutencao!$K$5:$K$10</c:f>
              <c:numCache>
                <c:formatCode>\R\$\ #,##0.00;[Red]\(\R\$\ #,##0.00\);\-</c:formatCode>
                <c:ptCount val="6"/>
                <c:pt idx="0">
                  <c:v>1069</c:v>
                </c:pt>
                <c:pt idx="1">
                  <c:v>3818.2</c:v>
                </c:pt>
                <c:pt idx="2">
                  <c:v>4115.24</c:v>
                </c:pt>
                <c:pt idx="3">
                  <c:v>12730.4</c:v>
                </c:pt>
                <c:pt idx="4">
                  <c:v>7227.9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6-441D-84C6-587736F8EBE4}"/>
            </c:ext>
          </c:extLst>
        </c:ser>
        <c:ser>
          <c:idx val="1"/>
          <c:order val="1"/>
          <c:tx>
            <c:v>Sua posse</c:v>
          </c:tx>
          <c:invertIfNegative val="1"/>
          <c:cat>
            <c:numRef>
              <c:f>Historico_Manutencao!$J$5:$J$10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Historico_Manutencao!$L$5:$L$10</c:f>
              <c:numCache>
                <c:formatCode>\R\$\ #,##0.00;[Red]\(\R\$\ #,##0.00\);\-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5271</c:v>
                </c:pt>
                <c:pt idx="5">
                  <c:v>14089.46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B6-441D-84C6-587736F8EBE4}"/>
            </c:ext>
          </c:extLst>
        </c:ser>
        <c:ser>
          <c:idx val="2"/>
          <c:order val="2"/>
          <c:tx>
            <c:v>Total registrado</c:v>
          </c:tx>
          <c:invertIfNegative val="1"/>
          <c:cat>
            <c:numRef>
              <c:f>Historico_Manutencao!$J$5:$J$10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Historico_Manutencao!$M$5:$M$10</c:f>
              <c:numCache>
                <c:formatCode>\R\$\ #,##0.00;[Red]\(\R\$\ #,##0.00\);\-</c:formatCode>
                <c:ptCount val="6"/>
                <c:pt idx="0">
                  <c:v>1069</c:v>
                </c:pt>
                <c:pt idx="1">
                  <c:v>3818.2</c:v>
                </c:pt>
                <c:pt idx="2">
                  <c:v>4115.24</c:v>
                </c:pt>
                <c:pt idx="3">
                  <c:v>12730.4</c:v>
                </c:pt>
                <c:pt idx="4">
                  <c:v>12498.9</c:v>
                </c:pt>
                <c:pt idx="5">
                  <c:v>14089.46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B6-441D-84C6-587736F8E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R\$\ #,##0.00;[Red]\(\R\$\ #,##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5</xdr:col>
      <xdr:colOff>0</xdr:colOff>
      <xdr:row>47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31</xdr:row>
      <xdr:rowOff>0</xdr:rowOff>
    </xdr:from>
    <xdr:to>
      <xdr:col>9</xdr:col>
      <xdr:colOff>0</xdr:colOff>
      <xdr:row>47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12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</xdr:row>
      <xdr:rowOff>0</xdr:rowOff>
    </xdr:from>
    <xdr:to>
      <xdr:col>26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18</xdr:row>
      <xdr:rowOff>0</xdr:rowOff>
    </xdr:from>
    <xdr:to>
      <xdr:col>26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30</xdr:row>
      <xdr:rowOff>0</xdr:rowOff>
    </xdr:from>
    <xdr:to>
      <xdr:col>14</xdr:col>
      <xdr:colOff>0</xdr:colOff>
      <xdr:row>47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HistoricoMensalTable" displayName="HistoricoMensalTable" ref="A4:G16" totalsRowShown="0">
  <tableColumns count="7">
    <tableColumn id="1" xr3:uid="{00000000-0010-0000-0000-000001000000}" name="Mês"/>
    <tableColumn id="2" xr3:uid="{00000000-0010-0000-0000-000002000000}" name="Combustível"/>
    <tableColumn id="3" xr3:uid="{00000000-0010-0000-0000-000003000000}" name="Serviços"/>
    <tableColumn id="4" xr3:uid="{00000000-0010-0000-0000-000004000000}" name="Seguro"/>
    <tableColumn id="5" xr3:uid="{00000000-0010-0000-0000-000005000000}" name="IPVA prov."/>
    <tableColumn id="6" xr3:uid="{00000000-0010-0000-0000-000006000000}" name="Licenc. prov."/>
    <tableColumn id="7" xr3:uid="{00000000-0010-0000-0000-000007000000}" name="TCO de caix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Servicos12mTable" displayName="Servicos12mTable" ref="A3:H67" totalsRowShown="0">
  <tableColumns count="8">
    <tableColumn id="1" xr3:uid="{00000000-0010-0000-0100-000001000000}" name="Data"/>
    <tableColumn id="2" xr3:uid="{00000000-0010-0000-0100-000002000000}" name="Odômetro"/>
    <tableColumn id="3" xr3:uid="{00000000-0010-0000-0100-000003000000}" name="Serviço"/>
    <tableColumn id="4" xr3:uid="{00000000-0010-0000-0100-000004000000}" name="Categoria TCO"/>
    <tableColumn id="5" xr3:uid="{00000000-0010-0000-0100-000005000000}" name="Valor"/>
    <tableColumn id="6" xr3:uid="{00000000-0010-0000-0100-000006000000}" name="Local"/>
    <tableColumn id="7" xr3:uid="{00000000-0010-0000-0100-000007000000}" name="Observação"/>
    <tableColumn id="8" xr3:uid="{00000000-0010-0000-0100-000008000000}" name="Even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Abastecimentos12mTable" displayName="Abastecimentos12mTable" ref="A3:I96" totalsRowShown="0">
  <tableColumns count="9">
    <tableColumn id="1" xr3:uid="{00000000-0010-0000-0200-000001000000}" name="Data"/>
    <tableColumn id="2" xr3:uid="{00000000-0010-0000-0200-000002000000}" name="Odômetro"/>
    <tableColumn id="3" xr3:uid="{00000000-0010-0000-0200-000003000000}" name="Combustível"/>
    <tableColumn id="4" xr3:uid="{00000000-0010-0000-0200-000004000000}" name="Preço/L"/>
    <tableColumn id="5" xr3:uid="{00000000-0010-0000-0200-000005000000}" name="Valor"/>
    <tableColumn id="6" xr3:uid="{00000000-0010-0000-0200-000006000000}" name="Volume"/>
    <tableColumn id="7" xr3:uid="{00000000-0010-0000-0200-000007000000}" name="Tanque cheio"/>
    <tableColumn id="8" xr3:uid="{00000000-0010-0000-0200-000008000000}" name="Média registrada"/>
    <tableColumn id="9" xr3:uid="{00000000-0010-0000-0200-000009000000}" name="Post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HistoricoManutencaoTable" displayName="HistoricoManutencaoTable" ref="A3:H27" totalsRowShown="0">
  <tableColumns count="8">
    <tableColumn id="1" xr3:uid="{00000000-0010-0000-0300-000001000000}" name="Data"/>
    <tableColumn id="2" xr3:uid="{00000000-0010-0000-0300-000002000000}" name="Ano"/>
    <tableColumn id="3" xr3:uid="{00000000-0010-0000-0300-000003000000}" name="Odômetro"/>
    <tableColumn id="4" xr3:uid="{00000000-0010-0000-0300-000004000000}" name="OS / evento"/>
    <tableColumn id="5" xr3:uid="{00000000-0010-0000-0300-000005000000}" name="Valor registrado"/>
    <tableColumn id="6" xr3:uid="{00000000-0010-0000-0300-000006000000}" name="Período"/>
    <tableColumn id="7" xr3:uid="{00000000-0010-0000-0300-000007000000}" name="Fonte"/>
    <tableColumn id="8" xr3:uid="{00000000-0010-0000-0300-000008000000}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workbookViewId="0">
      <selection activeCell="B19" sqref="B19"/>
    </sheetView>
  </sheetViews>
  <sheetFormatPr defaultRowHeight="13.5"/>
  <cols>
    <col min="1" max="1" width="23.9375" bestFit="1" customWidth="1"/>
    <col min="2" max="2" width="15.1875" bestFit="1" customWidth="1"/>
    <col min="3" max="3" width="13.3125" bestFit="1" customWidth="1"/>
    <col min="4" max="4" width="20.3125" bestFit="1" customWidth="1"/>
    <col min="5" max="5" width="18.8125" bestFit="1" customWidth="1"/>
    <col min="6" max="6" width="21.375" bestFit="1" customWidth="1"/>
    <col min="7" max="7" width="19.9375" bestFit="1" customWidth="1"/>
    <col min="8" max="8" width="15.75" bestFit="1" customWidth="1"/>
    <col min="9" max="9" width="41.5625" bestFit="1" customWidth="1"/>
  </cols>
  <sheetData>
    <row r="1" spans="1:9" ht="15" customHeight="1">
      <c r="A1" s="201" t="s">
        <v>0</v>
      </c>
      <c r="B1" s="201"/>
      <c r="C1" s="201"/>
      <c r="D1" s="201"/>
      <c r="E1" s="201"/>
      <c r="F1" s="201"/>
      <c r="G1" s="201"/>
      <c r="H1" s="201"/>
      <c r="I1" s="201"/>
    </row>
    <row r="3" spans="1:9" ht="13.9">
      <c r="A3" s="37" t="s">
        <v>1</v>
      </c>
      <c r="B3" s="48">
        <v>46278</v>
      </c>
      <c r="C3" s="37" t="s">
        <v>2</v>
      </c>
      <c r="D3" s="47">
        <v>21438</v>
      </c>
      <c r="E3" s="37" t="s">
        <v>3</v>
      </c>
      <c r="F3" s="38">
        <v>2304.5500000000002</v>
      </c>
      <c r="G3" s="38" t="s">
        <v>4</v>
      </c>
      <c r="H3" s="38">
        <v>2397.16</v>
      </c>
      <c r="I3" s="37"/>
    </row>
    <row r="5" spans="1:9" ht="13.9">
      <c r="A5" s="202" t="s">
        <v>8</v>
      </c>
      <c r="B5" s="202"/>
      <c r="C5" s="202"/>
      <c r="D5" s="202"/>
      <c r="F5" s="202" t="s">
        <v>9</v>
      </c>
      <c r="G5" s="202"/>
      <c r="H5" s="202"/>
      <c r="I5" s="202"/>
    </row>
    <row r="6" spans="1:9" ht="13.9">
      <c r="A6" s="41" t="s">
        <v>5</v>
      </c>
      <c r="B6" s="41" t="s">
        <v>10</v>
      </c>
      <c r="C6" s="41" t="s">
        <v>11</v>
      </c>
      <c r="D6" s="41" t="s">
        <v>12</v>
      </c>
      <c r="F6" s="41" t="s">
        <v>5</v>
      </c>
      <c r="G6" s="41" t="s">
        <v>10</v>
      </c>
      <c r="H6" s="41" t="s">
        <v>11</v>
      </c>
      <c r="I6" s="41" t="s">
        <v>13</v>
      </c>
    </row>
    <row r="7" spans="1:9">
      <c r="A7" t="s">
        <v>15</v>
      </c>
      <c r="B7" s="10">
        <v>13267.21</v>
      </c>
      <c r="C7" s="10">
        <f t="shared" ref="C7:C12" si="0">ROUND(B7/12,2)</f>
        <v>1105.5999999999999</v>
      </c>
      <c r="D7">
        <f t="shared" ref="D7:D12" si="1">ROUND(B7/$D$3,3)</f>
        <v>0.61899999999999999</v>
      </c>
      <c r="F7" t="s">
        <v>16</v>
      </c>
      <c r="G7" s="10">
        <v>10858.57</v>
      </c>
      <c r="H7" s="10">
        <f t="shared" ref="H7:H14" si="2">ROUND(G7/12,2)</f>
        <v>904.88</v>
      </c>
      <c r="I7" t="s">
        <v>17</v>
      </c>
    </row>
    <row r="8" spans="1:9">
      <c r="A8" t="s">
        <v>19</v>
      </c>
      <c r="B8" s="10">
        <v>17782.46</v>
      </c>
      <c r="C8" s="10">
        <f t="shared" si="0"/>
        <v>1481.87</v>
      </c>
      <c r="D8">
        <f t="shared" si="1"/>
        <v>0.82899999999999996</v>
      </c>
      <c r="F8" t="s">
        <v>20</v>
      </c>
      <c r="G8" s="10">
        <v>11700.83</v>
      </c>
      <c r="H8" s="10">
        <f t="shared" si="2"/>
        <v>975.07</v>
      </c>
      <c r="I8" t="s">
        <v>21</v>
      </c>
    </row>
    <row r="9" spans="1:9">
      <c r="A9" t="s">
        <v>14</v>
      </c>
      <c r="B9" s="10">
        <v>3516.24</v>
      </c>
      <c r="C9" s="10">
        <f t="shared" si="0"/>
        <v>293.02</v>
      </c>
      <c r="D9">
        <f t="shared" si="1"/>
        <v>0.16400000000000001</v>
      </c>
      <c r="F9" t="s">
        <v>14</v>
      </c>
      <c r="G9" s="10">
        <v>3516.24</v>
      </c>
      <c r="H9" s="10">
        <f t="shared" si="2"/>
        <v>293.02</v>
      </c>
      <c r="I9" t="s">
        <v>22</v>
      </c>
    </row>
    <row r="10" spans="1:9" ht="13.9">
      <c r="A10" t="s">
        <v>23</v>
      </c>
      <c r="B10" s="10">
        <v>1404.88</v>
      </c>
      <c r="C10" s="10">
        <f t="shared" si="0"/>
        <v>117.07</v>
      </c>
      <c r="D10">
        <f t="shared" si="1"/>
        <v>6.6000000000000003E-2</v>
      </c>
      <c r="F10" s="11" t="s">
        <v>24</v>
      </c>
      <c r="G10" s="12">
        <v>1404.88</v>
      </c>
      <c r="H10" s="12">
        <f t="shared" si="2"/>
        <v>117.07</v>
      </c>
      <c r="I10" s="11" t="s">
        <v>25</v>
      </c>
    </row>
    <row r="11" spans="1:9">
      <c r="A11" t="s">
        <v>28</v>
      </c>
      <c r="B11" s="10">
        <v>174.08</v>
      </c>
      <c r="C11" s="10">
        <f t="shared" si="0"/>
        <v>14.51</v>
      </c>
      <c r="D11">
        <f t="shared" si="1"/>
        <v>8.0000000000000002E-3</v>
      </c>
      <c r="F11" t="s">
        <v>28</v>
      </c>
      <c r="G11" s="10">
        <v>174.08</v>
      </c>
      <c r="H11" s="10">
        <f t="shared" si="2"/>
        <v>14.51</v>
      </c>
      <c r="I11" t="s">
        <v>29</v>
      </c>
    </row>
    <row r="12" spans="1:9" ht="13.9">
      <c r="A12" s="37" t="s">
        <v>31</v>
      </c>
      <c r="B12" s="38">
        <f>ROUND(SUM(B7:B11),2)</f>
        <v>36144.870000000003</v>
      </c>
      <c r="C12" s="38">
        <f t="shared" si="0"/>
        <v>3012.07</v>
      </c>
      <c r="D12" s="37">
        <f t="shared" si="1"/>
        <v>1.6859999999999999</v>
      </c>
      <c r="F12" s="49" t="s">
        <v>32</v>
      </c>
      <c r="G12" s="50">
        <f>ROUND(SUM(G7:G11),2)</f>
        <v>27654.6</v>
      </c>
      <c r="H12" s="50">
        <f t="shared" si="2"/>
        <v>2304.5500000000002</v>
      </c>
      <c r="I12" s="49" t="s">
        <v>33</v>
      </c>
    </row>
    <row r="13" spans="1:9">
      <c r="F13" t="s">
        <v>34</v>
      </c>
      <c r="G13" s="10">
        <v>1111.32</v>
      </c>
      <c r="H13" s="10">
        <f t="shared" si="2"/>
        <v>92.61</v>
      </c>
      <c r="I13" t="s">
        <v>35</v>
      </c>
    </row>
    <row r="14" spans="1:9" ht="13.9">
      <c r="A14" s="197"/>
      <c r="B14" s="197"/>
      <c r="C14" s="197"/>
      <c r="D14" s="197"/>
      <c r="F14" s="198" t="s">
        <v>36</v>
      </c>
      <c r="G14" s="199">
        <f>ROUND(G12+G13,2)</f>
        <v>28765.919999999998</v>
      </c>
      <c r="H14" s="199">
        <f t="shared" si="2"/>
        <v>2397.16</v>
      </c>
      <c r="I14" s="198" t="s">
        <v>37</v>
      </c>
    </row>
    <row r="15" spans="1:9" ht="13.9">
      <c r="A15" s="18"/>
      <c r="B15" s="18"/>
      <c r="C15" s="18"/>
      <c r="D15" s="18"/>
      <c r="F15" s="18"/>
      <c r="G15" s="18"/>
      <c r="H15" s="18"/>
      <c r="I15" s="18"/>
    </row>
    <row r="16" spans="1:9" ht="13.9">
      <c r="A16" s="202" t="s">
        <v>38</v>
      </c>
      <c r="B16" s="203"/>
      <c r="C16" s="203"/>
      <c r="D16" s="202"/>
      <c r="E16" s="202"/>
      <c r="F16" s="202"/>
      <c r="G16" s="203"/>
      <c r="H16" s="202"/>
      <c r="I16" s="202"/>
    </row>
    <row r="17" spans="1:9" ht="13.9">
      <c r="A17" s="41" t="s">
        <v>26</v>
      </c>
      <c r="B17" s="51" t="s">
        <v>39</v>
      </c>
      <c r="C17" s="51" t="s">
        <v>40</v>
      </c>
      <c r="D17" s="41" t="s">
        <v>27</v>
      </c>
      <c r="E17" s="41" t="s">
        <v>41</v>
      </c>
      <c r="F17" s="41" t="s">
        <v>12</v>
      </c>
      <c r="G17" s="51" t="s">
        <v>42</v>
      </c>
      <c r="H17" s="41" t="s">
        <v>43</v>
      </c>
      <c r="I17" s="41" t="s">
        <v>44</v>
      </c>
    </row>
    <row r="18" spans="1:9">
      <c r="A18" t="s">
        <v>30</v>
      </c>
      <c r="B18" s="10">
        <v>8739.4599999999991</v>
      </c>
      <c r="C18" s="10">
        <f>ROUND($G$7+B18+$G$9+$G$10+$G$11,2)</f>
        <v>24693.23</v>
      </c>
      <c r="D18" s="10">
        <f>ROUND(C18/12,2)</f>
        <v>2057.77</v>
      </c>
      <c r="E18" s="10">
        <f>ROUND((C18+$G$13)/12,2)</f>
        <v>2150.38</v>
      </c>
      <c r="F18">
        <f>ROUND(C18/$D$3,3)</f>
        <v>1.1519999999999999</v>
      </c>
      <c r="G18" s="10" t="s">
        <v>45</v>
      </c>
      <c r="H18" t="s">
        <v>46</v>
      </c>
      <c r="I18" t="s">
        <v>47</v>
      </c>
    </row>
    <row r="19" spans="1:9">
      <c r="A19" s="43" t="s">
        <v>48</v>
      </c>
      <c r="B19" s="44">
        <v>11700.83</v>
      </c>
      <c r="C19" s="44">
        <f>ROUND($G$7+B19+$G$9+$G$10+$G$11,2)</f>
        <v>27654.6</v>
      </c>
      <c r="D19" s="44">
        <f>ROUND(C19/12,2)</f>
        <v>2304.5500000000002</v>
      </c>
      <c r="E19" s="44">
        <f>ROUND((C19+$G$13)/12,2)</f>
        <v>2397.16</v>
      </c>
      <c r="F19" s="43">
        <f>ROUND(C19/$D$3,3)</f>
        <v>1.29</v>
      </c>
      <c r="G19" s="43" t="s">
        <v>49</v>
      </c>
      <c r="H19" s="43" t="s">
        <v>50</v>
      </c>
      <c r="I19" s="43" t="s">
        <v>51</v>
      </c>
    </row>
    <row r="20" spans="1:9">
      <c r="A20" t="s">
        <v>52</v>
      </c>
      <c r="B20" s="10">
        <v>12881.2</v>
      </c>
      <c r="C20" s="10">
        <f>ROUND($G$7+B20+$G$9+$G$10+$G$11,2)</f>
        <v>28834.97</v>
      </c>
      <c r="D20" s="10">
        <f>ROUND(C20/12,2)</f>
        <v>2402.91</v>
      </c>
      <c r="E20" s="10">
        <f>ROUND((C20+$G$13)/12,2)</f>
        <v>2495.52</v>
      </c>
      <c r="F20">
        <f>ROUND(C20/$D$3,3)</f>
        <v>1.345</v>
      </c>
      <c r="G20" t="s">
        <v>53</v>
      </c>
      <c r="H20" t="s">
        <v>54</v>
      </c>
      <c r="I20" t="s">
        <v>55</v>
      </c>
    </row>
    <row r="21" spans="1:9">
      <c r="A21" t="s">
        <v>56</v>
      </c>
      <c r="B21" s="10">
        <v>15295.73</v>
      </c>
      <c r="C21" s="10">
        <f>ROUND($G$7+B21+$G$9+$G$10+$G$11,2)</f>
        <v>31249.5</v>
      </c>
      <c r="D21" s="10">
        <f>ROUND(C21/12,2)</f>
        <v>2604.13</v>
      </c>
      <c r="E21" s="10">
        <f>ROUND((C21+$G$13)/12,2)</f>
        <v>2696.74</v>
      </c>
      <c r="F21">
        <f>ROUND(C21/$D$3,3)</f>
        <v>1.458</v>
      </c>
      <c r="G21" s="10" t="s">
        <v>57</v>
      </c>
      <c r="H21" t="s">
        <v>58</v>
      </c>
      <c r="I21" t="s">
        <v>59</v>
      </c>
    </row>
    <row r="22" spans="1:9" ht="13.9">
      <c r="A22" s="37" t="s">
        <v>60</v>
      </c>
      <c r="B22" s="38">
        <v>17782.46</v>
      </c>
      <c r="C22" s="38">
        <v>36144.870000000003</v>
      </c>
      <c r="D22" s="38">
        <v>3012.07</v>
      </c>
      <c r="E22" s="52">
        <v>3104.68</v>
      </c>
      <c r="F22" s="36">
        <v>1.6859999999999999</v>
      </c>
      <c r="G22" s="36" t="s">
        <v>61</v>
      </c>
      <c r="H22" s="36" t="s">
        <v>62</v>
      </c>
      <c r="I22" s="36" t="s">
        <v>63</v>
      </c>
    </row>
    <row r="23" spans="1:9">
      <c r="A23" s="17"/>
      <c r="B23" s="21"/>
      <c r="C23" s="21"/>
      <c r="D23" s="17"/>
    </row>
    <row r="24" spans="1:9" ht="13.9">
      <c r="A24" s="202" t="s">
        <v>64</v>
      </c>
      <c r="B24" s="202"/>
      <c r="C24" s="202"/>
      <c r="D24" s="202"/>
      <c r="F24" s="202" t="s">
        <v>65</v>
      </c>
      <c r="G24" s="202"/>
      <c r="H24" s="202"/>
      <c r="I24" s="202"/>
    </row>
    <row r="25" spans="1:9" ht="13.9">
      <c r="A25" s="41" t="s">
        <v>66</v>
      </c>
      <c r="B25" s="41" t="s">
        <v>67</v>
      </c>
      <c r="C25" s="41" t="s">
        <v>68</v>
      </c>
      <c r="D25" s="41" t="s">
        <v>69</v>
      </c>
      <c r="F25" s="41" t="s">
        <v>70</v>
      </c>
      <c r="G25" s="51" t="s">
        <v>67</v>
      </c>
      <c r="H25" s="41" t="s">
        <v>71</v>
      </c>
      <c r="I25" s="41" t="s">
        <v>44</v>
      </c>
    </row>
    <row r="26" spans="1:9">
      <c r="A26" t="s">
        <v>72</v>
      </c>
      <c r="B26" s="10">
        <v>4498.46</v>
      </c>
      <c r="C26" s="19">
        <f>B26/$B$29</f>
        <v>0.25297174856572152</v>
      </c>
      <c r="D26" t="s">
        <v>73</v>
      </c>
      <c r="F26" t="s">
        <v>74</v>
      </c>
      <c r="G26" s="10">
        <v>3.89</v>
      </c>
      <c r="H26" t="s">
        <v>75</v>
      </c>
      <c r="I26" t="s">
        <v>76</v>
      </c>
    </row>
    <row r="27" spans="1:9">
      <c r="A27" t="s">
        <v>77</v>
      </c>
      <c r="B27" s="10">
        <v>12723</v>
      </c>
      <c r="C27" s="19">
        <f>B27/$B$29</f>
        <v>0.71548031037325543</v>
      </c>
      <c r="D27" t="s">
        <v>78</v>
      </c>
      <c r="F27" t="s">
        <v>79</v>
      </c>
      <c r="G27" s="10">
        <v>6.29</v>
      </c>
      <c r="H27" t="s">
        <v>75</v>
      </c>
      <c r="I27" t="s">
        <v>76</v>
      </c>
    </row>
    <row r="28" spans="1:9">
      <c r="A28" t="s">
        <v>80</v>
      </c>
      <c r="B28" s="10">
        <v>561</v>
      </c>
      <c r="C28" s="19">
        <f>B28/$B$29</f>
        <v>3.1547941061023058E-2</v>
      </c>
      <c r="D28" t="s">
        <v>81</v>
      </c>
      <c r="F28" t="s">
        <v>82</v>
      </c>
      <c r="G28" s="19">
        <v>0.61839999999999995</v>
      </c>
      <c r="H28" t="s">
        <v>68</v>
      </c>
      <c r="I28" t="s">
        <v>83</v>
      </c>
    </row>
    <row r="29" spans="1:9" ht="13.9">
      <c r="A29" s="37" t="s">
        <v>84</v>
      </c>
      <c r="B29" s="38">
        <v>17782.46</v>
      </c>
      <c r="C29" s="37"/>
      <c r="D29" s="37" t="s">
        <v>85</v>
      </c>
      <c r="F29" t="s">
        <v>86</v>
      </c>
      <c r="G29" s="28">
        <v>7.68</v>
      </c>
      <c r="H29" t="s">
        <v>87</v>
      </c>
      <c r="I29" t="s">
        <v>88</v>
      </c>
    </row>
    <row r="30" spans="1:9">
      <c r="F30" t="s">
        <v>89</v>
      </c>
      <c r="G30">
        <v>0.50700000000000001</v>
      </c>
      <c r="H30" t="s">
        <v>12</v>
      </c>
      <c r="I30" t="s">
        <v>90</v>
      </c>
    </row>
    <row r="42" spans="1:9" ht="13.9">
      <c r="A42" s="200"/>
      <c r="B42" s="200"/>
      <c r="C42" s="200"/>
      <c r="D42" s="200"/>
      <c r="E42" s="200"/>
      <c r="F42" s="200"/>
      <c r="G42" s="200"/>
      <c r="H42" s="200"/>
      <c r="I42" s="200"/>
    </row>
    <row r="43" spans="1:9" ht="13.9">
      <c r="A43" s="23"/>
      <c r="B43" s="23"/>
      <c r="C43" s="23"/>
      <c r="D43" s="23"/>
      <c r="E43" s="23"/>
      <c r="F43" s="23"/>
      <c r="G43" s="23"/>
      <c r="H43" s="23"/>
      <c r="I43" s="23"/>
    </row>
    <row r="44" spans="1:9">
      <c r="B44" s="10"/>
      <c r="C44" s="10"/>
      <c r="D44" s="10"/>
      <c r="E44" s="10"/>
    </row>
    <row r="45" spans="1:9" ht="13.9">
      <c r="A45" s="25"/>
      <c r="B45" s="26"/>
      <c r="C45" s="26"/>
      <c r="D45" s="26"/>
      <c r="E45" s="26"/>
      <c r="F45" s="25"/>
      <c r="G45" s="27"/>
      <c r="H45" s="25"/>
      <c r="I45" s="25"/>
    </row>
    <row r="46" spans="1:9">
      <c r="B46" s="10"/>
      <c r="C46" s="10"/>
      <c r="D46" s="10"/>
      <c r="E46" s="10"/>
    </row>
    <row r="47" spans="1:9">
      <c r="B47" s="10"/>
      <c r="C47" s="10"/>
      <c r="D47" s="10"/>
      <c r="E47" s="10"/>
    </row>
    <row r="48" spans="1:9">
      <c r="B48" s="10"/>
      <c r="C48" s="10"/>
      <c r="D48" s="10"/>
      <c r="E48" s="10"/>
    </row>
    <row r="49" spans="1:9">
      <c r="A49" s="196" t="s">
        <v>91</v>
      </c>
      <c r="B49" s="196"/>
      <c r="C49" s="196"/>
      <c r="D49" s="196"/>
      <c r="E49" s="196"/>
      <c r="F49" s="196"/>
      <c r="G49" s="196"/>
      <c r="H49" s="196"/>
      <c r="I49" s="196"/>
    </row>
    <row r="50" spans="1:9">
      <c r="A50" s="196"/>
      <c r="B50" s="196"/>
      <c r="C50" s="196"/>
      <c r="D50" s="196"/>
      <c r="E50" s="196"/>
      <c r="F50" s="196"/>
      <c r="G50" s="196"/>
      <c r="H50" s="196"/>
      <c r="I50" s="196"/>
    </row>
    <row r="51" spans="1:9">
      <c r="A51" s="196"/>
      <c r="B51" s="196"/>
      <c r="C51" s="196"/>
      <c r="D51" s="196"/>
      <c r="E51" s="196"/>
      <c r="F51" s="196"/>
      <c r="G51" s="196"/>
      <c r="H51" s="196"/>
      <c r="I51" s="196"/>
    </row>
    <row r="52" spans="1:9">
      <c r="A52" s="196"/>
      <c r="B52" s="196"/>
      <c r="C52" s="196"/>
      <c r="D52" s="196"/>
      <c r="E52" s="196"/>
      <c r="F52" s="196"/>
      <c r="G52" s="196"/>
      <c r="H52" s="196"/>
      <c r="I52" s="196"/>
    </row>
  </sheetData>
  <mergeCells count="10">
    <mergeCell ref="A49:I52"/>
    <mergeCell ref="A14:D14"/>
    <mergeCell ref="F14:I14"/>
    <mergeCell ref="A42:I42"/>
    <mergeCell ref="A1:I1"/>
    <mergeCell ref="A5:D5"/>
    <mergeCell ref="F5:I5"/>
    <mergeCell ref="A16:I16"/>
    <mergeCell ref="A24:D24"/>
    <mergeCell ref="F24:I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6"/>
  <sheetViews>
    <sheetView tabSelected="1" workbookViewId="0">
      <selection activeCell="F10" sqref="F10"/>
    </sheetView>
  </sheetViews>
  <sheetFormatPr defaultRowHeight="13.5"/>
  <cols>
    <col min="1" max="1" width="39.5625" bestFit="1" customWidth="1"/>
    <col min="2" max="2" width="18" customWidth="1"/>
    <col min="3" max="3" width="20.1875" customWidth="1"/>
    <col min="4" max="4" width="32.9375" customWidth="1"/>
    <col min="5" max="5" width="29.0625" customWidth="1"/>
    <col min="6" max="6" width="18" customWidth="1"/>
    <col min="7" max="7" width="13.0625" customWidth="1"/>
    <col min="8" max="8" width="32" customWidth="1"/>
    <col min="9" max="9" width="25.9375" customWidth="1"/>
    <col min="10" max="10" width="18" customWidth="1"/>
    <col min="11" max="11" width="14" customWidth="1"/>
    <col min="12" max="12" width="30.9375" customWidth="1"/>
  </cols>
  <sheetData>
    <row r="1" spans="1:12" ht="20.65">
      <c r="A1" s="158" t="s">
        <v>255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</row>
    <row r="2" spans="1:12" ht="13.9">
      <c r="A2" s="156" t="s">
        <v>256</v>
      </c>
      <c r="B2" s="156"/>
      <c r="C2" s="156"/>
      <c r="D2" s="156"/>
      <c r="E2" s="156"/>
      <c r="F2" s="156"/>
      <c r="G2" s="54"/>
      <c r="H2" s="54"/>
      <c r="I2" s="54"/>
      <c r="J2" s="54"/>
      <c r="K2" s="54"/>
      <c r="L2" s="54"/>
    </row>
    <row r="3" spans="1:12" ht="14.25" thickBot="1">
      <c r="A3" s="14"/>
      <c r="B3" s="14"/>
      <c r="C3" s="14"/>
      <c r="D3" s="14"/>
      <c r="E3" s="14"/>
      <c r="F3" s="14"/>
      <c r="G3" s="2"/>
      <c r="H3" s="2"/>
      <c r="I3" s="2"/>
      <c r="J3" s="2"/>
      <c r="K3" s="2"/>
      <c r="L3" s="2"/>
    </row>
    <row r="4" spans="1:12" ht="13.9">
      <c r="A4" s="159" t="s">
        <v>257</v>
      </c>
      <c r="B4" s="160"/>
      <c r="C4" s="161"/>
      <c r="D4" s="162"/>
      <c r="E4" s="159" t="s">
        <v>258</v>
      </c>
      <c r="F4" s="161"/>
      <c r="G4" s="161"/>
      <c r="H4" s="162"/>
      <c r="I4" s="159" t="s">
        <v>259</v>
      </c>
      <c r="J4" s="161"/>
      <c r="K4" s="161"/>
      <c r="L4" s="163"/>
    </row>
    <row r="5" spans="1:12">
      <c r="A5" s="75" t="s">
        <v>260</v>
      </c>
      <c r="B5" s="67"/>
      <c r="C5" s="66"/>
      <c r="D5" s="83" t="s">
        <v>261</v>
      </c>
      <c r="E5" s="76" t="s">
        <v>262</v>
      </c>
      <c r="F5" s="89">
        <v>1.7000000000000001E-2</v>
      </c>
      <c r="G5" s="68" t="s">
        <v>263</v>
      </c>
      <c r="H5" s="84" t="s">
        <v>264</v>
      </c>
      <c r="I5" s="76" t="s">
        <v>265</v>
      </c>
      <c r="J5" s="101">
        <v>12</v>
      </c>
      <c r="K5" s="68" t="s">
        <v>266</v>
      </c>
      <c r="L5" s="77" t="s">
        <v>267</v>
      </c>
    </row>
    <row r="6" spans="1:12">
      <c r="A6" s="76" t="s">
        <v>268</v>
      </c>
      <c r="B6" s="69">
        <v>120000</v>
      </c>
      <c r="C6" s="68" t="s">
        <v>116</v>
      </c>
      <c r="D6" s="84" t="s">
        <v>269</v>
      </c>
      <c r="E6" s="76" t="s">
        <v>270</v>
      </c>
      <c r="F6" s="90">
        <v>48</v>
      </c>
      <c r="G6" s="68" t="s">
        <v>271</v>
      </c>
      <c r="H6" s="84" t="s">
        <v>272</v>
      </c>
      <c r="I6" s="76" t="s">
        <v>273</v>
      </c>
      <c r="J6" s="69">
        <v>2</v>
      </c>
      <c r="K6" s="68" t="s">
        <v>274</v>
      </c>
      <c r="L6" s="77" t="s">
        <v>275</v>
      </c>
    </row>
    <row r="7" spans="1:12">
      <c r="A7" s="75" t="s">
        <v>276</v>
      </c>
      <c r="B7" s="70">
        <f>Premissas!B11</f>
        <v>37044</v>
      </c>
      <c r="C7" s="71" t="s">
        <v>116</v>
      </c>
      <c r="D7" s="85" t="s">
        <v>277</v>
      </c>
      <c r="E7" s="94" t="s">
        <v>278</v>
      </c>
      <c r="F7" s="91">
        <v>46266</v>
      </c>
      <c r="G7" s="68" t="s">
        <v>139</v>
      </c>
      <c r="H7" s="84" t="s">
        <v>279</v>
      </c>
      <c r="I7" s="76" t="s">
        <v>280</v>
      </c>
      <c r="J7" s="89">
        <v>0.1</v>
      </c>
      <c r="K7" s="68" t="s">
        <v>68</v>
      </c>
      <c r="L7" s="77" t="s">
        <v>281</v>
      </c>
    </row>
    <row r="8" spans="1:12">
      <c r="A8" s="76" t="s">
        <v>282</v>
      </c>
      <c r="B8" s="69">
        <v>40000</v>
      </c>
      <c r="C8" s="68" t="s">
        <v>116</v>
      </c>
      <c r="D8" s="84" t="s">
        <v>283</v>
      </c>
      <c r="E8" s="76" t="s">
        <v>284</v>
      </c>
      <c r="F8" s="89">
        <v>0</v>
      </c>
      <c r="G8" s="68" t="s">
        <v>263</v>
      </c>
      <c r="H8" s="84" t="s">
        <v>285</v>
      </c>
      <c r="I8" s="106" t="s">
        <v>286</v>
      </c>
      <c r="J8" s="103">
        <f>IF(OR(J5="",J6=""),"",Dashboard!D3*J5/100*J6*(1+J7))</f>
        <v>5659.6320000000005</v>
      </c>
      <c r="K8" s="102" t="s">
        <v>6</v>
      </c>
      <c r="L8" s="107" t="s">
        <v>287</v>
      </c>
    </row>
    <row r="9" spans="1:12">
      <c r="A9" s="76" t="s">
        <v>288</v>
      </c>
      <c r="B9" s="69"/>
      <c r="C9" s="68" t="s">
        <v>116</v>
      </c>
      <c r="D9" s="84" t="s">
        <v>289</v>
      </c>
      <c r="E9" s="76" t="s">
        <v>290</v>
      </c>
      <c r="F9" s="69">
        <v>0</v>
      </c>
      <c r="G9" s="68" t="s">
        <v>110</v>
      </c>
      <c r="H9" s="84" t="s">
        <v>291</v>
      </c>
      <c r="I9" s="76" t="s">
        <v>292</v>
      </c>
      <c r="J9" s="69">
        <v>5600</v>
      </c>
      <c r="K9" s="68" t="s">
        <v>6</v>
      </c>
      <c r="L9" s="77" t="s">
        <v>293</v>
      </c>
    </row>
    <row r="10" spans="1:12">
      <c r="A10" s="76" t="s">
        <v>294</v>
      </c>
      <c r="B10" s="69"/>
      <c r="C10" s="72" t="s">
        <v>116</v>
      </c>
      <c r="D10" s="86" t="s">
        <v>295</v>
      </c>
      <c r="E10" s="94" t="s">
        <v>296</v>
      </c>
      <c r="F10" s="90">
        <v>2</v>
      </c>
      <c r="G10" s="68" t="s">
        <v>297</v>
      </c>
      <c r="H10" s="84" t="s">
        <v>298</v>
      </c>
      <c r="I10" s="76" t="s">
        <v>299</v>
      </c>
      <c r="J10" s="69">
        <v>4400</v>
      </c>
      <c r="K10" s="68" t="s">
        <v>6</v>
      </c>
      <c r="L10" s="77" t="s">
        <v>300</v>
      </c>
    </row>
    <row r="11" spans="1:12">
      <c r="A11" s="78" t="s">
        <v>301</v>
      </c>
      <c r="B11" s="74">
        <f>IF(B6="","",MAX(0,B6-B8-B9+B10))</f>
        <v>80000</v>
      </c>
      <c r="C11" s="73" t="s">
        <v>116</v>
      </c>
      <c r="D11" s="87" t="s">
        <v>302</v>
      </c>
      <c r="E11" s="76" t="s">
        <v>303</v>
      </c>
      <c r="F11" s="92" t="s">
        <v>241</v>
      </c>
      <c r="G11" s="68" t="s">
        <v>304</v>
      </c>
      <c r="H11" s="84" t="s">
        <v>305</v>
      </c>
      <c r="I11" s="106" t="s">
        <v>28</v>
      </c>
      <c r="J11" s="104">
        <f>Premissas!B14</f>
        <v>174.08</v>
      </c>
      <c r="K11" s="102" t="s">
        <v>6</v>
      </c>
      <c r="L11" s="107" t="s">
        <v>306</v>
      </c>
    </row>
    <row r="12" spans="1:12" ht="27">
      <c r="A12" s="76" t="s">
        <v>307</v>
      </c>
      <c r="B12" s="69"/>
      <c r="C12" s="68" t="s">
        <v>116</v>
      </c>
      <c r="D12" s="84" t="s">
        <v>308</v>
      </c>
      <c r="E12" s="95" t="s">
        <v>309</v>
      </c>
      <c r="F12" s="93" t="str">
        <f>IF(B13&lt;=0,"-",IF(AND(F9=0,COUNT(Financiamento_EV!I17:I136)=0),"BASELINE",IF(F11="Sim","POTENCIALIZADA","NORMAL")))</f>
        <v>BASELINE</v>
      </c>
      <c r="G12" s="93"/>
      <c r="H12" s="99" t="s">
        <v>287</v>
      </c>
      <c r="I12" s="76" t="s">
        <v>310</v>
      </c>
      <c r="J12" s="69">
        <v>770</v>
      </c>
      <c r="K12" s="68" t="s">
        <v>6</v>
      </c>
      <c r="L12" s="77" t="s">
        <v>311</v>
      </c>
    </row>
    <row r="13" spans="1:12" ht="14.25" thickBot="1">
      <c r="A13" s="80" t="s">
        <v>312</v>
      </c>
      <c r="B13" s="81">
        <f>IF(B11&lt;&gt;"",B11,B12)</f>
        <v>80000</v>
      </c>
      <c r="C13" s="82" t="s">
        <v>116</v>
      </c>
      <c r="D13" s="88" t="s">
        <v>313</v>
      </c>
      <c r="E13" s="96" t="s">
        <v>314</v>
      </c>
      <c r="F13" s="97">
        <f>IF(Financiamento_EV!F5="","",Financiamento_EV!H5)</f>
        <v>2451.5109510633461</v>
      </c>
      <c r="G13" s="98" t="s">
        <v>110</v>
      </c>
      <c r="H13" s="100" t="s">
        <v>315</v>
      </c>
      <c r="I13" s="76" t="s">
        <v>316</v>
      </c>
      <c r="J13" s="89">
        <v>3.5000000000000003E-2</v>
      </c>
      <c r="K13" s="68" t="s">
        <v>136</v>
      </c>
      <c r="L13" s="77" t="s">
        <v>317</v>
      </c>
    </row>
    <row r="14" spans="1:12">
      <c r="A14" s="2"/>
      <c r="B14" s="2"/>
      <c r="C14" s="2"/>
      <c r="D14" s="2"/>
      <c r="E14" s="2"/>
      <c r="F14" s="2"/>
      <c r="G14" s="2"/>
      <c r="H14" s="9"/>
      <c r="I14" s="106" t="s">
        <v>318</v>
      </c>
      <c r="J14" s="103">
        <f>IF(OR(B6="",J13=""),"",B6*J13)</f>
        <v>4200</v>
      </c>
      <c r="K14" s="102" t="s">
        <v>6</v>
      </c>
      <c r="L14" s="107" t="s">
        <v>287</v>
      </c>
    </row>
    <row r="15" spans="1:12" ht="14.25" thickBot="1">
      <c r="A15" s="195" t="s">
        <v>322</v>
      </c>
      <c r="B15" s="195"/>
      <c r="C15" s="195"/>
      <c r="D15" s="195"/>
      <c r="E15" s="195"/>
      <c r="F15" s="195"/>
      <c r="G15" s="2"/>
      <c r="H15" s="9"/>
      <c r="I15" s="78" t="s">
        <v>319</v>
      </c>
      <c r="J15" s="105">
        <f>IF(COUNT(J8:J12)&lt;5,"",SUM(J8:J12))</f>
        <v>16603.712</v>
      </c>
      <c r="K15" s="73" t="s">
        <v>6</v>
      </c>
      <c r="L15" s="79" t="s">
        <v>320</v>
      </c>
    </row>
    <row r="16" spans="1:12">
      <c r="A16" s="167" t="s">
        <v>323</v>
      </c>
      <c r="B16" s="168"/>
      <c r="C16" s="171" t="s">
        <v>324</v>
      </c>
      <c r="D16" s="172"/>
      <c r="E16" s="189" t="s">
        <v>325</v>
      </c>
      <c r="F16" s="190"/>
      <c r="G16" s="2"/>
      <c r="H16" s="9"/>
      <c r="I16" s="78" t="s">
        <v>319</v>
      </c>
      <c r="J16" s="105">
        <f>IF(J15="","",J15/12)</f>
        <v>1383.6426666666666</v>
      </c>
      <c r="K16" s="73" t="s">
        <v>110</v>
      </c>
      <c r="L16" s="79" t="s">
        <v>320</v>
      </c>
    </row>
    <row r="17" spans="1:12" ht="21.75" thickBot="1">
      <c r="A17" s="169">
        <f>IF(Financiamento_EV!N17=0,"",Financiamento_EV!N17)</f>
        <v>2451.5109510633461</v>
      </c>
      <c r="B17" s="170"/>
      <c r="C17" s="193">
        <f>IF(J16="","",Dashboard!H12-J16)</f>
        <v>920.90733333333355</v>
      </c>
      <c r="D17" s="194"/>
      <c r="E17" s="191">
        <f>IF(OR(A17="",C17=""),"",A17-C17)</f>
        <v>1530.6036177300125</v>
      </c>
      <c r="F17" s="192"/>
      <c r="G17" s="2"/>
      <c r="H17" s="9"/>
      <c r="I17" s="108" t="s">
        <v>321</v>
      </c>
      <c r="J17" s="109">
        <f>IF(OR(J15="",J14=""),"",(J15+J14)/12)</f>
        <v>1733.6426666666666</v>
      </c>
      <c r="K17" s="110" t="s">
        <v>110</v>
      </c>
      <c r="L17" s="111" t="s">
        <v>37</v>
      </c>
    </row>
    <row r="18" spans="1:12" ht="14.25" thickBot="1">
      <c r="A18" s="157"/>
      <c r="B18" s="157"/>
      <c r="C18" s="157"/>
      <c r="D18" s="157"/>
      <c r="E18" s="157"/>
      <c r="F18" s="157"/>
      <c r="G18" s="2"/>
      <c r="H18" s="2"/>
      <c r="I18" s="2"/>
      <c r="J18" s="2"/>
      <c r="K18" s="2"/>
      <c r="L18" s="2"/>
    </row>
    <row r="19" spans="1:12">
      <c r="A19" s="183" t="s">
        <v>326</v>
      </c>
      <c r="B19" s="184"/>
      <c r="C19" s="181" t="s">
        <v>327</v>
      </c>
      <c r="D19" s="182"/>
      <c r="E19" s="183" t="s">
        <v>328</v>
      </c>
      <c r="F19" s="184"/>
    </row>
    <row r="20" spans="1:12" ht="21.75" thickBot="1">
      <c r="A20" s="179">
        <f>Fluxo_EV!D4</f>
        <v>1530.6036177300005</v>
      </c>
      <c r="B20" s="180"/>
      <c r="C20" s="185">
        <f>Fluxo_EV!F4</f>
        <v>-920.90733333333355</v>
      </c>
      <c r="D20" s="186"/>
      <c r="E20" s="187">
        <f>Financiamento_EV!F7</f>
        <v>47696</v>
      </c>
      <c r="F20" s="188"/>
    </row>
    <row r="21" spans="1:12">
      <c r="A21" s="2"/>
      <c r="B21" s="6"/>
      <c r="C21" s="6"/>
      <c r="D21" s="6"/>
      <c r="E21" s="6"/>
      <c r="F21" s="2"/>
      <c r="G21" s="2"/>
      <c r="H21" s="2"/>
      <c r="I21" s="2"/>
      <c r="J21" s="2"/>
      <c r="K21" s="2"/>
      <c r="L21" s="2"/>
    </row>
    <row r="22" spans="1:12" ht="13.9" customHeight="1" thickBot="1">
      <c r="A22" s="112" t="s">
        <v>329</v>
      </c>
      <c r="B22" s="113"/>
      <c r="C22" s="113"/>
      <c r="D22" s="113"/>
      <c r="E22" s="113"/>
      <c r="F22" s="112"/>
    </row>
    <row r="23" spans="1:12" ht="13.9">
      <c r="A23" s="173" t="s">
        <v>330</v>
      </c>
      <c r="B23" s="174"/>
      <c r="C23" s="175" t="s">
        <v>331</v>
      </c>
      <c r="D23" s="176"/>
      <c r="E23" s="177" t="s">
        <v>332</v>
      </c>
      <c r="F23" s="178"/>
    </row>
    <row r="24" spans="1:12">
      <c r="A24" s="78" t="s">
        <v>333</v>
      </c>
      <c r="B24" s="114">
        <f>Cenarios_Fin!B5</f>
        <v>48</v>
      </c>
      <c r="C24" s="122" t="s">
        <v>333</v>
      </c>
      <c r="D24" s="123">
        <f>Cenarios_Fin!D5</f>
        <v>48</v>
      </c>
      <c r="E24" s="95" t="s">
        <v>333</v>
      </c>
      <c r="F24" s="133">
        <f>Cenarios_Fin!F5</f>
        <v>48</v>
      </c>
    </row>
    <row r="25" spans="1:12">
      <c r="A25" s="78" t="s">
        <v>334</v>
      </c>
      <c r="B25" s="115">
        <f>Cenarios_Fin!B6</f>
        <v>47696</v>
      </c>
      <c r="C25" s="124" t="s">
        <v>334</v>
      </c>
      <c r="D25" s="125">
        <f>Cenarios_Fin!D6</f>
        <v>47696</v>
      </c>
      <c r="E25" s="95" t="s">
        <v>334</v>
      </c>
      <c r="F25" s="134">
        <f>Cenarios_Fin!F6</f>
        <v>47696</v>
      </c>
    </row>
    <row r="26" spans="1:12" ht="13.9">
      <c r="A26" s="116" t="s">
        <v>335</v>
      </c>
      <c r="B26" s="117">
        <f>Cenarios_Fin!B7</f>
        <v>37672.525651040094</v>
      </c>
      <c r="C26" s="126" t="s">
        <v>335</v>
      </c>
      <c r="D26" s="127">
        <f>Cenarios_Fin!D7</f>
        <v>37672.525651040094</v>
      </c>
      <c r="E26" s="95" t="s">
        <v>335</v>
      </c>
      <c r="F26" s="135">
        <f>Cenarios_Fin!F7</f>
        <v>37672.525651040014</v>
      </c>
    </row>
    <row r="27" spans="1:12" ht="13.9">
      <c r="A27" s="118" t="s">
        <v>336</v>
      </c>
      <c r="B27" s="119">
        <f>Cenarios_Fin!B8</f>
        <v>117672.52565104009</v>
      </c>
      <c r="C27" s="128" t="s">
        <v>336</v>
      </c>
      <c r="D27" s="129">
        <f>Cenarios_Fin!D8</f>
        <v>117672.52565104009</v>
      </c>
      <c r="E27" s="95" t="s">
        <v>336</v>
      </c>
      <c r="F27" s="135">
        <f>Cenarios_Fin!F8</f>
        <v>117672.52565104011</v>
      </c>
    </row>
    <row r="28" spans="1:12" ht="13.9">
      <c r="A28" s="116" t="s">
        <v>337</v>
      </c>
      <c r="B28" s="120">
        <f>Cenarios_Fin!B9</f>
        <v>0</v>
      </c>
      <c r="C28" s="130" t="s">
        <v>337</v>
      </c>
      <c r="D28" s="127">
        <f>Cenarios_Fin!D9</f>
        <v>0</v>
      </c>
      <c r="E28" s="137" t="s">
        <v>337</v>
      </c>
      <c r="F28" s="135">
        <f>Cenarios_Fin!F9</f>
        <v>8.0035533756017685E-11</v>
      </c>
    </row>
    <row r="29" spans="1:12" ht="13.9" thickBot="1">
      <c r="A29" s="108" t="s">
        <v>338</v>
      </c>
      <c r="B29" s="121">
        <f>Cenarios_Fin!B10</f>
        <v>0</v>
      </c>
      <c r="C29" s="131" t="s">
        <v>338</v>
      </c>
      <c r="D29" s="132">
        <f>Cenarios_Fin!D10</f>
        <v>0</v>
      </c>
      <c r="E29" s="96" t="s">
        <v>338</v>
      </c>
      <c r="F29" s="136">
        <f>Cenarios_Fin!F10</f>
        <v>0</v>
      </c>
    </row>
    <row r="30" spans="1:12">
      <c r="A30" s="2"/>
      <c r="B30" s="16"/>
      <c r="C30" s="2"/>
      <c r="D30" s="2"/>
      <c r="E30" s="2"/>
      <c r="F30" s="2"/>
    </row>
    <row r="31" spans="1:12" ht="13.9">
      <c r="A31" s="164" t="s">
        <v>339</v>
      </c>
      <c r="B31" s="165"/>
      <c r="C31" s="164"/>
      <c r="D31" s="164"/>
      <c r="E31" s="164"/>
      <c r="F31" s="2"/>
      <c r="G31" s="2"/>
      <c r="H31" s="2"/>
      <c r="I31" s="2"/>
      <c r="J31" s="2"/>
      <c r="K31" s="2"/>
      <c r="L31" s="2"/>
    </row>
    <row r="32" spans="1:12" ht="13.9">
      <c r="A32" s="58" t="s">
        <v>70</v>
      </c>
      <c r="B32" s="58" t="s">
        <v>340</v>
      </c>
      <c r="C32" s="58" t="s">
        <v>341</v>
      </c>
      <c r="D32" s="58" t="s">
        <v>342</v>
      </c>
      <c r="E32" s="2"/>
      <c r="F32" s="2"/>
      <c r="G32" s="2"/>
      <c r="H32" s="2"/>
      <c r="I32" s="2"/>
      <c r="J32" s="2"/>
      <c r="K32" s="2"/>
      <c r="L32" s="2"/>
    </row>
    <row r="33" spans="1:12">
      <c r="A33" s="2" t="s">
        <v>343</v>
      </c>
      <c r="B33" s="16">
        <f>Dashboard!H12</f>
        <v>2304.5500000000002</v>
      </c>
      <c r="C33" s="16">
        <f>IF(J16="","",J16)</f>
        <v>1383.6426666666666</v>
      </c>
      <c r="D33" s="16">
        <f>IF(C33="","",C33-B33)</f>
        <v>-920.90733333333355</v>
      </c>
      <c r="E33" s="2"/>
      <c r="F33" s="2"/>
      <c r="G33" s="2"/>
      <c r="H33" s="2"/>
      <c r="I33" s="2"/>
      <c r="J33" s="2"/>
      <c r="K33" s="2"/>
      <c r="L33" s="2"/>
    </row>
    <row r="34" spans="1:12">
      <c r="A34" s="2" t="s">
        <v>4</v>
      </c>
      <c r="B34" s="16">
        <f>Dashboard!H14</f>
        <v>2397.16</v>
      </c>
      <c r="C34" s="16">
        <f>IF(J17="","",J17)</f>
        <v>1733.6426666666666</v>
      </c>
      <c r="D34" s="16">
        <f>IF(C34="","",C34-B34)</f>
        <v>-663.51733333333323</v>
      </c>
      <c r="E34" s="2"/>
      <c r="F34" s="2"/>
      <c r="G34" s="2"/>
      <c r="H34" s="2"/>
      <c r="I34" s="2"/>
      <c r="J34" s="2"/>
      <c r="K34" s="2"/>
      <c r="L34" s="2"/>
    </row>
    <row r="35" spans="1:12">
      <c r="A35" s="2" t="s">
        <v>344</v>
      </c>
      <c r="B35" s="16">
        <v>0</v>
      </c>
      <c r="C35" s="16">
        <f>IF(OR(Financiamento_EV!F8="",Financiamento_EV!F6=0),"",Financiamento_EV!F8/Financiamento_EV!F6)</f>
        <v>784.84428439666692</v>
      </c>
      <c r="D35" s="16">
        <f>IF(C35="","",C35)</f>
        <v>784.84428439666692</v>
      </c>
      <c r="E35" s="2"/>
      <c r="F35" s="2"/>
      <c r="G35" s="2"/>
      <c r="H35" s="2"/>
      <c r="I35" s="2"/>
      <c r="J35" s="2"/>
      <c r="K35" s="2"/>
      <c r="L35" s="2"/>
    </row>
    <row r="36" spans="1:12">
      <c r="A36" s="2" t="s">
        <v>345</v>
      </c>
      <c r="B36" s="16">
        <f>Dashboard!H14</f>
        <v>2397.16</v>
      </c>
      <c r="C36" s="16">
        <f>IF(OR(J17="",C35=""),"",J17+C35)</f>
        <v>2518.4869510633334</v>
      </c>
      <c r="D36" s="16">
        <f>IF(C36="","",C36-B36)</f>
        <v>121.32695106333358</v>
      </c>
      <c r="E36" s="2"/>
      <c r="F36" s="2"/>
      <c r="G36" s="2"/>
      <c r="H36" s="2"/>
      <c r="I36" s="2"/>
      <c r="J36" s="2"/>
      <c r="K36" s="2"/>
      <c r="L36" s="2"/>
    </row>
    <row r="37" spans="1:12">
      <c r="A37" s="2" t="s">
        <v>346</v>
      </c>
      <c r="B37" s="16">
        <v>0</v>
      </c>
      <c r="C37" s="16">
        <f>IF(Financiamento_EV!F8="","",Financiamento_EV!F8)</f>
        <v>37672.525651040014</v>
      </c>
      <c r="D37" s="16">
        <f>IF(C37="","",C37)</f>
        <v>37672.525651040014</v>
      </c>
      <c r="E37" s="2"/>
      <c r="F37" s="2"/>
      <c r="G37" s="2"/>
      <c r="H37" s="2"/>
      <c r="I37" s="2"/>
      <c r="J37" s="2"/>
      <c r="K37" s="2"/>
      <c r="L37" s="2"/>
    </row>
    <row r="38" spans="1:1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>
      <c r="A39" s="166" t="s">
        <v>347</v>
      </c>
      <c r="B39" s="166"/>
      <c r="C39" s="166"/>
      <c r="D39" s="166"/>
      <c r="E39" s="166"/>
      <c r="F39" s="2"/>
      <c r="G39" s="2"/>
      <c r="H39" s="2"/>
      <c r="I39" s="2"/>
      <c r="J39" s="2"/>
      <c r="K39" s="2"/>
      <c r="L39" s="2"/>
    </row>
    <row r="40" spans="1:12">
      <c r="A40" s="166"/>
      <c r="B40" s="166"/>
      <c r="C40" s="166"/>
      <c r="D40" s="166"/>
      <c r="E40" s="166"/>
      <c r="F40" s="2"/>
      <c r="G40" s="2"/>
      <c r="H40" s="2"/>
      <c r="I40" s="2"/>
      <c r="J40" s="2"/>
      <c r="K40" s="2"/>
      <c r="L40" s="2"/>
    </row>
    <row r="41" spans="1:12">
      <c r="A41" s="166"/>
      <c r="B41" s="166"/>
      <c r="C41" s="166"/>
      <c r="D41" s="166"/>
      <c r="E41" s="166"/>
      <c r="F41" s="2"/>
      <c r="G41" s="2"/>
      <c r="H41" s="2"/>
      <c r="I41" s="2"/>
      <c r="J41" s="2"/>
      <c r="K41" s="2"/>
      <c r="L41" s="2"/>
    </row>
    <row r="42" spans="1:12">
      <c r="A42" s="166"/>
      <c r="B42" s="166"/>
      <c r="C42" s="166"/>
      <c r="D42" s="166"/>
      <c r="E42" s="166"/>
      <c r="F42" s="2"/>
      <c r="G42" s="2"/>
      <c r="H42" s="2"/>
      <c r="I42" s="2"/>
      <c r="J42" s="2"/>
      <c r="K42" s="2"/>
      <c r="L42" s="2"/>
    </row>
    <row r="43" spans="1:1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</sheetData>
  <mergeCells count="24">
    <mergeCell ref="A19:B19"/>
    <mergeCell ref="A31:E31"/>
    <mergeCell ref="A39:E42"/>
    <mergeCell ref="A16:B16"/>
    <mergeCell ref="A17:B17"/>
    <mergeCell ref="C16:D16"/>
    <mergeCell ref="A23:B23"/>
    <mergeCell ref="C23:D23"/>
    <mergeCell ref="E23:F23"/>
    <mergeCell ref="A20:B20"/>
    <mergeCell ref="C19:D19"/>
    <mergeCell ref="E19:F19"/>
    <mergeCell ref="C20:D20"/>
    <mergeCell ref="E20:F20"/>
    <mergeCell ref="E16:F16"/>
    <mergeCell ref="E17:F17"/>
    <mergeCell ref="C17:D17"/>
    <mergeCell ref="A2:F2"/>
    <mergeCell ref="A18:F18"/>
    <mergeCell ref="A1:L1"/>
    <mergeCell ref="A4:D4"/>
    <mergeCell ref="E4:H4"/>
    <mergeCell ref="I4:L4"/>
    <mergeCell ref="A15:F15"/>
  </mergeCells>
  <conditionalFormatting sqref="A20 C20">
    <cfRule type="cellIs" dxfId="5" priority="5" operator="greaterThan">
      <formula>0</formula>
    </cfRule>
    <cfRule type="cellIs" dxfId="4" priority="6" operator="lessThan">
      <formula>0</formula>
    </cfRule>
  </conditionalFormatting>
  <conditionalFormatting sqref="E17">
    <cfRule type="cellIs" dxfId="3" priority="1" operator="greaterThan">
      <formula>0</formula>
    </cfRule>
    <cfRule type="cellIs" dxfId="2" priority="2" operator="lessThan">
      <formula>0</formula>
    </cfRule>
  </conditionalFormatting>
  <dataValidations count="1">
    <dataValidation type="list" sqref="F11" xr:uid="{00000000-0002-0000-0500-000000000000}">
      <formula1>"Sim,Não"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36"/>
  <sheetViews>
    <sheetView workbookViewId="0">
      <selection activeCell="N20" sqref="N20"/>
    </sheetView>
  </sheetViews>
  <sheetFormatPr defaultRowHeight="13.5"/>
  <cols>
    <col min="1" max="1" width="7.9375" customWidth="1"/>
    <col min="2" max="2" width="13.0625" customWidth="1"/>
    <col min="3" max="4" width="16" customWidth="1"/>
    <col min="5" max="5" width="20.6875" bestFit="1" customWidth="1"/>
    <col min="6" max="6" width="16" customWidth="1"/>
    <col min="7" max="7" width="21" bestFit="1" customWidth="1"/>
    <col min="8" max="8" width="16" customWidth="1"/>
    <col min="9" max="9" width="14" customWidth="1"/>
    <col min="10" max="17" width="16" customWidth="1"/>
  </cols>
  <sheetData>
    <row r="1" spans="1:17" ht="15" customHeight="1">
      <c r="A1" s="204" t="s">
        <v>482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</row>
    <row r="2" spans="1:17">
      <c r="A2" s="205" t="s">
        <v>483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</row>
    <row r="4" spans="1:17" ht="13.9">
      <c r="A4" s="206" t="s">
        <v>484</v>
      </c>
      <c r="B4" s="206"/>
      <c r="C4" s="206"/>
      <c r="E4" s="206" t="s">
        <v>485</v>
      </c>
      <c r="F4" s="206"/>
      <c r="G4" s="206"/>
      <c r="H4" s="206"/>
    </row>
    <row r="5" spans="1:17">
      <c r="A5" t="s">
        <v>486</v>
      </c>
      <c r="C5" s="53">
        <f>Comparador_EV!$B$13</f>
        <v>80000</v>
      </c>
      <c r="E5" t="s">
        <v>487</v>
      </c>
      <c r="F5" s="10">
        <f>IF($C$5&lt;=0,"",IF($C$6=0,$C$5/$C$7,$C$5*$C$6/(1-(1+$C$6)^(-$C$7))))</f>
        <v>2451.5109510633461</v>
      </c>
      <c r="G5" t="s">
        <v>488</v>
      </c>
      <c r="H5" s="10">
        <f>IF(F5="","",F5+$C$10)</f>
        <v>2451.5109510633461</v>
      </c>
    </row>
    <row r="6" spans="1:17">
      <c r="A6" t="s">
        <v>489</v>
      </c>
      <c r="C6" s="59">
        <f>Comparador_EV!$F$5</f>
        <v>1.7000000000000001E-2</v>
      </c>
      <c r="E6" t="s">
        <v>333</v>
      </c>
      <c r="F6">
        <f>IF($C$5&lt;=0,"",IFERROR(MATCH(0,$O$17:$O$136,0),$C$7))</f>
        <v>48</v>
      </c>
      <c r="G6" t="s">
        <v>338</v>
      </c>
      <c r="H6">
        <f>IF(F6="","",$C$7-F6)</f>
        <v>0</v>
      </c>
    </row>
    <row r="7" spans="1:17">
      <c r="A7" t="s">
        <v>490</v>
      </c>
      <c r="C7" s="60">
        <f>Comparador_EV!F6</f>
        <v>48</v>
      </c>
      <c r="E7" t="s">
        <v>491</v>
      </c>
      <c r="F7" s="62">
        <f>IF($C$5&lt;=0,"",IFERROR(INDEX($B$17:$B$136,MATCH(0,$O$17:$O$136,0)),""))</f>
        <v>47696</v>
      </c>
      <c r="G7" t="s">
        <v>337</v>
      </c>
      <c r="H7" s="10">
        <f>IF(F8="","",Cenarios_Fin!$B$7-F8)</f>
        <v>8.0035533756017685E-11</v>
      </c>
    </row>
    <row r="8" spans="1:17">
      <c r="A8" t="s">
        <v>278</v>
      </c>
      <c r="C8" s="61">
        <f>Comparador_EV!$F$7</f>
        <v>46266</v>
      </c>
      <c r="E8" t="s">
        <v>335</v>
      </c>
      <c r="F8" s="10">
        <f>IF($C$5&lt;=0,"",SUM($F$17:$F$136))</f>
        <v>37672.525651040014</v>
      </c>
      <c r="G8" t="s">
        <v>492</v>
      </c>
      <c r="H8" s="19">
        <f>IF(OR(H7="",Cenarios_Fin!$B$7=0),"",H7/Cenarios_Fin!$B$7)</f>
        <v>2.1245067160451453E-15</v>
      </c>
    </row>
    <row r="9" spans="1:17">
      <c r="A9" t="s">
        <v>493</v>
      </c>
      <c r="C9" s="59">
        <f>Comparador_EV!$F$8</f>
        <v>0</v>
      </c>
    </row>
    <row r="10" spans="1:17">
      <c r="A10" t="s">
        <v>290</v>
      </c>
      <c r="C10" s="53">
        <f>Comparador_EV!F9</f>
        <v>0</v>
      </c>
      <c r="E10" t="s">
        <v>494</v>
      </c>
      <c r="F10" s="10">
        <f>IF($C$5&lt;=0,"",SUM($L$17:$L$136))</f>
        <v>0</v>
      </c>
      <c r="G10" t="s">
        <v>336</v>
      </c>
      <c r="H10" s="10">
        <f>IF($C$5&lt;=0,"",SUM($N$17:$N$136))</f>
        <v>117672.52565104011</v>
      </c>
    </row>
    <row r="11" spans="1:17">
      <c r="A11" t="s">
        <v>495</v>
      </c>
      <c r="C11" s="60">
        <f>Comparador_EV!$F$10</f>
        <v>2</v>
      </c>
      <c r="E11" t="s">
        <v>496</v>
      </c>
      <c r="F11" s="10">
        <f>IF($C$5&lt;=0,"",SUM($M$17:$M$136))</f>
        <v>1.2773853086400777E-9</v>
      </c>
      <c r="G11" t="s">
        <v>497</v>
      </c>
      <c r="H11" s="10">
        <f>IF($C$5&lt;=0,"",IFERROR(INDEX($G$17:$G$136,MATCH(0,$O$17:$O$136,0)),0))</f>
        <v>2451.5109510627808</v>
      </c>
    </row>
    <row r="12" spans="1:17">
      <c r="A12" t="s">
        <v>303</v>
      </c>
      <c r="C12" s="56" t="str">
        <f>Comparador_EV!$F$11</f>
        <v>Sim</v>
      </c>
      <c r="E12" t="s">
        <v>498</v>
      </c>
      <c r="F12" s="10">
        <f>IF($C$5&lt;=0,"",SUM($L$17:$M$136))</f>
        <v>1.2773853086400777E-9</v>
      </c>
      <c r="G12" t="s">
        <v>499</v>
      </c>
      <c r="H12" s="10">
        <f>IF(OR(F5="",H11=""),"",MAX(0,F5-H11))</f>
        <v>5.652509571518749E-10</v>
      </c>
    </row>
    <row r="14" spans="1:17" ht="13.9">
      <c r="A14" s="206" t="s">
        <v>500</v>
      </c>
      <c r="B14" s="206"/>
      <c r="C14" s="206"/>
      <c r="D14" s="206"/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</row>
    <row r="15" spans="1:17" ht="27.75">
      <c r="A15" s="63" t="s">
        <v>143</v>
      </c>
      <c r="B15" s="63" t="s">
        <v>61</v>
      </c>
      <c r="C15" s="63" t="s">
        <v>501</v>
      </c>
      <c r="D15" s="63" t="s">
        <v>502</v>
      </c>
      <c r="E15" s="63" t="s">
        <v>503</v>
      </c>
      <c r="F15" s="63" t="s">
        <v>504</v>
      </c>
      <c r="G15" s="63" t="s">
        <v>505</v>
      </c>
      <c r="H15" s="63" t="s">
        <v>506</v>
      </c>
      <c r="I15" s="63" t="s">
        <v>507</v>
      </c>
      <c r="J15" s="63" t="s">
        <v>508</v>
      </c>
      <c r="K15" s="63" t="s">
        <v>496</v>
      </c>
      <c r="L15" s="63" t="s">
        <v>509</v>
      </c>
      <c r="M15" s="63" t="s">
        <v>510</v>
      </c>
      <c r="N15" s="63" t="s">
        <v>511</v>
      </c>
      <c r="O15" s="63" t="s">
        <v>512</v>
      </c>
      <c r="P15" s="63" t="s">
        <v>513</v>
      </c>
      <c r="Q15" s="63" t="s">
        <v>514</v>
      </c>
    </row>
    <row r="17" spans="1:17">
      <c r="A17">
        <f>1</f>
        <v>1</v>
      </c>
      <c r="B17" s="62">
        <f>C8</f>
        <v>46266</v>
      </c>
      <c r="C17" s="10">
        <f>C5</f>
        <v>80000</v>
      </c>
      <c r="D17" s="10">
        <f t="shared" ref="D17:D48" si="0">IF(OR(C17&lt;=0,A17&gt;$C$7),0,C17*$C$9)</f>
        <v>0</v>
      </c>
      <c r="E17" s="10">
        <f t="shared" ref="E17:E48" si="1">MAX(0,C17+D17)</f>
        <v>80000</v>
      </c>
      <c r="F17" s="10">
        <f t="shared" ref="F17:F48" si="2">IF(E17&lt;=0,0,E17*$C$6)</f>
        <v>1360</v>
      </c>
      <c r="G17" s="10">
        <f t="shared" ref="G17:G48" si="3">IF(E17&lt;=0,0,IF($C$6=0,E17/($C$7-A17+1),E17*$C$6/(1-(1+$C$6)^(-($C$7-A17+1)))))</f>
        <v>2451.5109510633461</v>
      </c>
      <c r="H17" s="10">
        <f t="shared" ref="H17:H48" si="4">MAX(0,MIN(E17,G17-F17))</f>
        <v>1091.5109510633461</v>
      </c>
      <c r="I17" s="55"/>
      <c r="J17" s="10">
        <f t="shared" ref="J17:J48" si="5">IF(E17&lt;=0,0,IF(ISNUMBER(I17),MAX(0,I17),IF(A17&gt;=$C$11,$C$10,0)))</f>
        <v>0</v>
      </c>
      <c r="K17" s="10">
        <f t="shared" ref="K17:K48" si="6">IF(OR(E17&lt;=0,$C$12&lt;&gt;"Sim",A17&lt;$C$11),0,MAX(0,$F$5-G17))</f>
        <v>0</v>
      </c>
      <c r="L17" s="10">
        <f t="shared" ref="L17:L48" si="7">IF(E17&lt;=0,0,MIN(J17,MAX(0,E17-H17)))</f>
        <v>0</v>
      </c>
      <c r="M17" s="10">
        <f t="shared" ref="M17:M48" si="8">IF(E17&lt;=0,0,MIN(K17,MAX(0,E17-H17-L17)))</f>
        <v>0</v>
      </c>
      <c r="N17" s="10">
        <f t="shared" ref="N17:N48" si="9">IF(E17&lt;=0,0,G17+L17+M17)</f>
        <v>2451.5109510633461</v>
      </c>
      <c r="O17" s="10">
        <f t="shared" ref="O17:O48" si="10">MAX(0,E17-H17-L17-M17)</f>
        <v>78908.489048936652</v>
      </c>
      <c r="P17" s="10">
        <f>F17</f>
        <v>1360</v>
      </c>
      <c r="Q17" s="10">
        <f>L17+M17</f>
        <v>0</v>
      </c>
    </row>
    <row r="18" spans="1:17">
      <c r="A18">
        <f t="shared" ref="A18:A49" si="11">A17+1</f>
        <v>2</v>
      </c>
      <c r="B18" s="62">
        <f t="shared" ref="B18:B49" si="12">DATE(YEAR(B17),MONTH(B17)+1,1)</f>
        <v>46296</v>
      </c>
      <c r="C18" s="10">
        <f t="shared" ref="C18:C49" si="13">O17</f>
        <v>78908.489048936652</v>
      </c>
      <c r="D18" s="10">
        <f t="shared" si="0"/>
        <v>0</v>
      </c>
      <c r="E18" s="10">
        <f t="shared" si="1"/>
        <v>78908.489048936652</v>
      </c>
      <c r="F18" s="10">
        <f t="shared" si="2"/>
        <v>1341.4443138319232</v>
      </c>
      <c r="G18" s="10">
        <f t="shared" si="3"/>
        <v>2451.5109510633461</v>
      </c>
      <c r="H18" s="10">
        <f t="shared" si="4"/>
        <v>1110.0666372314229</v>
      </c>
      <c r="I18" s="55"/>
      <c r="J18" s="10">
        <f t="shared" si="5"/>
        <v>0</v>
      </c>
      <c r="K18" s="10">
        <f t="shared" si="6"/>
        <v>0</v>
      </c>
      <c r="L18" s="10">
        <f t="shared" si="7"/>
        <v>0</v>
      </c>
      <c r="M18" s="10">
        <f t="shared" si="8"/>
        <v>0</v>
      </c>
      <c r="N18" s="10">
        <f t="shared" si="9"/>
        <v>2451.5109510633461</v>
      </c>
      <c r="O18" s="10">
        <f t="shared" si="10"/>
        <v>77798.422411705222</v>
      </c>
      <c r="P18" s="10">
        <f t="shared" ref="P18:P49" si="14">P17+F18</f>
        <v>2701.444313831923</v>
      </c>
      <c r="Q18" s="10">
        <f t="shared" ref="Q18:Q49" si="15">Q17+L18+M18</f>
        <v>0</v>
      </c>
    </row>
    <row r="19" spans="1:17">
      <c r="A19">
        <f t="shared" si="11"/>
        <v>3</v>
      </c>
      <c r="B19" s="62">
        <f t="shared" si="12"/>
        <v>46327</v>
      </c>
      <c r="C19" s="10">
        <f t="shared" si="13"/>
        <v>77798.422411705222</v>
      </c>
      <c r="D19" s="10">
        <f t="shared" si="0"/>
        <v>0</v>
      </c>
      <c r="E19" s="10">
        <f t="shared" si="1"/>
        <v>77798.422411705222</v>
      </c>
      <c r="F19" s="10">
        <f t="shared" si="2"/>
        <v>1322.5731809989888</v>
      </c>
      <c r="G19" s="10">
        <f t="shared" si="3"/>
        <v>2451.5109510633451</v>
      </c>
      <c r="H19" s="10">
        <f t="shared" si="4"/>
        <v>1128.9377700643563</v>
      </c>
      <c r="I19" s="55"/>
      <c r="J19" s="10">
        <f t="shared" si="5"/>
        <v>0</v>
      </c>
      <c r="K19" s="10">
        <f t="shared" si="6"/>
        <v>9.0949470177292824E-13</v>
      </c>
      <c r="L19" s="10">
        <f t="shared" si="7"/>
        <v>0</v>
      </c>
      <c r="M19" s="10">
        <f t="shared" si="8"/>
        <v>9.0949470177292824E-13</v>
      </c>
      <c r="N19" s="10">
        <f t="shared" si="9"/>
        <v>2451.5109510633461</v>
      </c>
      <c r="O19" s="10">
        <f t="shared" si="10"/>
        <v>76669.484641640869</v>
      </c>
      <c r="P19" s="10">
        <f t="shared" si="14"/>
        <v>4024.0174948309118</v>
      </c>
      <c r="Q19" s="10">
        <f t="shared" si="15"/>
        <v>9.0949470177292824E-13</v>
      </c>
    </row>
    <row r="20" spans="1:17">
      <c r="A20">
        <f t="shared" si="11"/>
        <v>4</v>
      </c>
      <c r="B20" s="62">
        <f t="shared" si="12"/>
        <v>46357</v>
      </c>
      <c r="C20" s="10">
        <f t="shared" si="13"/>
        <v>76669.484641640869</v>
      </c>
      <c r="D20" s="10">
        <f t="shared" si="0"/>
        <v>0</v>
      </c>
      <c r="E20" s="10">
        <f t="shared" si="1"/>
        <v>76669.484641640869</v>
      </c>
      <c r="F20" s="10">
        <f t="shared" si="2"/>
        <v>1303.3812389078948</v>
      </c>
      <c r="G20" s="10">
        <f t="shared" si="3"/>
        <v>2451.5109510633456</v>
      </c>
      <c r="H20" s="10">
        <f t="shared" si="4"/>
        <v>1148.1297121554508</v>
      </c>
      <c r="I20" s="55"/>
      <c r="J20" s="10">
        <f t="shared" si="5"/>
        <v>0</v>
      </c>
      <c r="K20" s="10">
        <f t="shared" si="6"/>
        <v>4.5474735088646412E-13</v>
      </c>
      <c r="L20" s="10">
        <f t="shared" si="7"/>
        <v>0</v>
      </c>
      <c r="M20" s="10">
        <f t="shared" si="8"/>
        <v>4.5474735088646412E-13</v>
      </c>
      <c r="N20" s="10">
        <f t="shared" si="9"/>
        <v>2451.5109510633461</v>
      </c>
      <c r="O20" s="10">
        <f t="shared" si="10"/>
        <v>75521.354929485417</v>
      </c>
      <c r="P20" s="10">
        <f t="shared" si="14"/>
        <v>5327.3987337388062</v>
      </c>
      <c r="Q20" s="10">
        <f t="shared" si="15"/>
        <v>1.3642420526593924E-12</v>
      </c>
    </row>
    <row r="21" spans="1:17">
      <c r="A21">
        <f t="shared" si="11"/>
        <v>5</v>
      </c>
      <c r="B21" s="62">
        <f t="shared" si="12"/>
        <v>46388</v>
      </c>
      <c r="C21" s="10">
        <f t="shared" si="13"/>
        <v>75521.354929485417</v>
      </c>
      <c r="D21" s="10">
        <f t="shared" si="0"/>
        <v>0</v>
      </c>
      <c r="E21" s="10">
        <f t="shared" si="1"/>
        <v>75521.354929485417</v>
      </c>
      <c r="F21" s="10">
        <f t="shared" si="2"/>
        <v>1283.8630338012522</v>
      </c>
      <c r="G21" s="10">
        <f t="shared" si="3"/>
        <v>2451.5109510633451</v>
      </c>
      <c r="H21" s="10">
        <f t="shared" si="4"/>
        <v>1167.647917262093</v>
      </c>
      <c r="I21" s="55"/>
      <c r="J21" s="10">
        <f t="shared" si="5"/>
        <v>0</v>
      </c>
      <c r="K21" s="10">
        <f t="shared" si="6"/>
        <v>9.0949470177292824E-13</v>
      </c>
      <c r="L21" s="10">
        <f t="shared" si="7"/>
        <v>0</v>
      </c>
      <c r="M21" s="10">
        <f t="shared" si="8"/>
        <v>9.0949470177292824E-13</v>
      </c>
      <c r="N21" s="10">
        <f t="shared" si="9"/>
        <v>2451.5109510633461</v>
      </c>
      <c r="O21" s="10">
        <f t="shared" si="10"/>
        <v>74353.707012223327</v>
      </c>
      <c r="P21" s="10">
        <f t="shared" si="14"/>
        <v>6611.2617675400579</v>
      </c>
      <c r="Q21" s="10">
        <f t="shared" si="15"/>
        <v>2.2737367544323206E-12</v>
      </c>
    </row>
    <row r="22" spans="1:17">
      <c r="A22">
        <f t="shared" si="11"/>
        <v>6</v>
      </c>
      <c r="B22" s="62">
        <f t="shared" si="12"/>
        <v>46419</v>
      </c>
      <c r="C22" s="10">
        <f t="shared" si="13"/>
        <v>74353.707012223327</v>
      </c>
      <c r="D22" s="10">
        <f t="shared" si="0"/>
        <v>0</v>
      </c>
      <c r="E22" s="10">
        <f t="shared" si="1"/>
        <v>74353.707012223327</v>
      </c>
      <c r="F22" s="10">
        <f t="shared" si="2"/>
        <v>1264.0130192077966</v>
      </c>
      <c r="G22" s="10">
        <f t="shared" si="3"/>
        <v>2451.5109510633451</v>
      </c>
      <c r="H22" s="10">
        <f t="shared" si="4"/>
        <v>1187.4979318555486</v>
      </c>
      <c r="I22" s="55"/>
      <c r="J22" s="10">
        <f t="shared" si="5"/>
        <v>0</v>
      </c>
      <c r="K22" s="10">
        <f t="shared" si="6"/>
        <v>9.0949470177292824E-13</v>
      </c>
      <c r="L22" s="10">
        <f t="shared" si="7"/>
        <v>0</v>
      </c>
      <c r="M22" s="10">
        <f t="shared" si="8"/>
        <v>9.0949470177292824E-13</v>
      </c>
      <c r="N22" s="10">
        <f t="shared" si="9"/>
        <v>2451.5109510633461</v>
      </c>
      <c r="O22" s="10">
        <f t="shared" si="10"/>
        <v>73166.209080367786</v>
      </c>
      <c r="P22" s="10">
        <f t="shared" si="14"/>
        <v>7875.2747867478547</v>
      </c>
      <c r="Q22" s="10">
        <f t="shared" si="15"/>
        <v>3.1832314562052488E-12</v>
      </c>
    </row>
    <row r="23" spans="1:17">
      <c r="A23">
        <f t="shared" si="11"/>
        <v>7</v>
      </c>
      <c r="B23" s="62">
        <f t="shared" si="12"/>
        <v>46447</v>
      </c>
      <c r="C23" s="10">
        <f t="shared" si="13"/>
        <v>73166.209080367786</v>
      </c>
      <c r="D23" s="10">
        <f t="shared" si="0"/>
        <v>0</v>
      </c>
      <c r="E23" s="10">
        <f t="shared" si="1"/>
        <v>73166.209080367786</v>
      </c>
      <c r="F23" s="10">
        <f t="shared" si="2"/>
        <v>1243.8255543662524</v>
      </c>
      <c r="G23" s="10">
        <f t="shared" si="3"/>
        <v>2451.5109510633451</v>
      </c>
      <c r="H23" s="10">
        <f t="shared" si="4"/>
        <v>1207.6853966970928</v>
      </c>
      <c r="I23" s="55"/>
      <c r="J23" s="10">
        <f t="shared" si="5"/>
        <v>0</v>
      </c>
      <c r="K23" s="10">
        <f t="shared" si="6"/>
        <v>9.0949470177292824E-13</v>
      </c>
      <c r="L23" s="10">
        <f t="shared" si="7"/>
        <v>0</v>
      </c>
      <c r="M23" s="10">
        <f t="shared" si="8"/>
        <v>9.0949470177292824E-13</v>
      </c>
      <c r="N23" s="10">
        <f t="shared" si="9"/>
        <v>2451.5109510633461</v>
      </c>
      <c r="O23" s="10">
        <f t="shared" si="10"/>
        <v>71958.52368367069</v>
      </c>
      <c r="P23" s="10">
        <f t="shared" si="14"/>
        <v>9119.1003411141064</v>
      </c>
      <c r="Q23" s="10">
        <f t="shared" si="15"/>
        <v>4.0927261579781771E-12</v>
      </c>
    </row>
    <row r="24" spans="1:17">
      <c r="A24">
        <f t="shared" si="11"/>
        <v>8</v>
      </c>
      <c r="B24" s="62">
        <f t="shared" si="12"/>
        <v>46478</v>
      </c>
      <c r="C24" s="10">
        <f t="shared" si="13"/>
        <v>71958.52368367069</v>
      </c>
      <c r="D24" s="10">
        <f t="shared" si="0"/>
        <v>0</v>
      </c>
      <c r="E24" s="10">
        <f t="shared" si="1"/>
        <v>71958.52368367069</v>
      </c>
      <c r="F24" s="10">
        <f t="shared" si="2"/>
        <v>1223.2949026224019</v>
      </c>
      <c r="G24" s="10">
        <f t="shared" si="3"/>
        <v>2451.5109510633451</v>
      </c>
      <c r="H24" s="10">
        <f t="shared" si="4"/>
        <v>1228.2160484409433</v>
      </c>
      <c r="I24" s="55"/>
      <c r="J24" s="10">
        <f t="shared" si="5"/>
        <v>0</v>
      </c>
      <c r="K24" s="10">
        <f t="shared" si="6"/>
        <v>9.0949470177292824E-13</v>
      </c>
      <c r="L24" s="10">
        <f t="shared" si="7"/>
        <v>0</v>
      </c>
      <c r="M24" s="10">
        <f t="shared" si="8"/>
        <v>9.0949470177292824E-13</v>
      </c>
      <c r="N24" s="10">
        <f t="shared" si="9"/>
        <v>2451.5109510633461</v>
      </c>
      <c r="O24" s="10">
        <f t="shared" si="10"/>
        <v>70730.30763522975</v>
      </c>
      <c r="P24" s="10">
        <f t="shared" si="14"/>
        <v>10342.395243736508</v>
      </c>
      <c r="Q24" s="10">
        <f t="shared" si="15"/>
        <v>5.0022208597511053E-12</v>
      </c>
    </row>
    <row r="25" spans="1:17">
      <c r="A25">
        <f t="shared" si="11"/>
        <v>9</v>
      </c>
      <c r="B25" s="62">
        <f t="shared" si="12"/>
        <v>46508</v>
      </c>
      <c r="C25" s="10">
        <f t="shared" si="13"/>
        <v>70730.30763522975</v>
      </c>
      <c r="D25" s="10">
        <f t="shared" si="0"/>
        <v>0</v>
      </c>
      <c r="E25" s="10">
        <f t="shared" si="1"/>
        <v>70730.30763522975</v>
      </c>
      <c r="F25" s="10">
        <f t="shared" si="2"/>
        <v>1202.4152297989058</v>
      </c>
      <c r="G25" s="10">
        <f t="shared" si="3"/>
        <v>2451.5109510633447</v>
      </c>
      <c r="H25" s="10">
        <f t="shared" si="4"/>
        <v>1249.0957212644389</v>
      </c>
      <c r="I25" s="55"/>
      <c r="J25" s="10">
        <f t="shared" si="5"/>
        <v>0</v>
      </c>
      <c r="K25" s="10">
        <f t="shared" si="6"/>
        <v>1.3642420526593924E-12</v>
      </c>
      <c r="L25" s="10">
        <f t="shared" si="7"/>
        <v>0</v>
      </c>
      <c r="M25" s="10">
        <f t="shared" si="8"/>
        <v>1.3642420526593924E-12</v>
      </c>
      <c r="N25" s="10">
        <f t="shared" si="9"/>
        <v>2451.5109510633461</v>
      </c>
      <c r="O25" s="10">
        <f t="shared" si="10"/>
        <v>69481.211913965308</v>
      </c>
      <c r="P25" s="10">
        <f t="shared" si="14"/>
        <v>11544.810473535414</v>
      </c>
      <c r="Q25" s="10">
        <f t="shared" si="15"/>
        <v>6.3664629124104977E-12</v>
      </c>
    </row>
    <row r="26" spans="1:17">
      <c r="A26">
        <f t="shared" si="11"/>
        <v>10</v>
      </c>
      <c r="B26" s="62">
        <f t="shared" si="12"/>
        <v>46539</v>
      </c>
      <c r="C26" s="10">
        <f t="shared" si="13"/>
        <v>69481.211913965308</v>
      </c>
      <c r="D26" s="10">
        <f t="shared" si="0"/>
        <v>0</v>
      </c>
      <c r="E26" s="10">
        <f t="shared" si="1"/>
        <v>69481.211913965308</v>
      </c>
      <c r="F26" s="10">
        <f t="shared" si="2"/>
        <v>1181.1806025374103</v>
      </c>
      <c r="G26" s="10">
        <f t="shared" si="3"/>
        <v>2451.5109510633447</v>
      </c>
      <c r="H26" s="10">
        <f t="shared" si="4"/>
        <v>1270.3303485259344</v>
      </c>
      <c r="I26" s="55"/>
      <c r="J26" s="10">
        <f t="shared" si="5"/>
        <v>0</v>
      </c>
      <c r="K26" s="10">
        <f t="shared" si="6"/>
        <v>1.3642420526593924E-12</v>
      </c>
      <c r="L26" s="10">
        <f t="shared" si="7"/>
        <v>0</v>
      </c>
      <c r="M26" s="10">
        <f t="shared" si="8"/>
        <v>1.3642420526593924E-12</v>
      </c>
      <c r="N26" s="10">
        <f t="shared" si="9"/>
        <v>2451.5109510633461</v>
      </c>
      <c r="O26" s="10">
        <f t="shared" si="10"/>
        <v>68210.881565439369</v>
      </c>
      <c r="P26" s="10">
        <f t="shared" si="14"/>
        <v>12725.991076072823</v>
      </c>
      <c r="Q26" s="10">
        <f t="shared" si="15"/>
        <v>7.73070496506989E-12</v>
      </c>
    </row>
    <row r="27" spans="1:17">
      <c r="A27">
        <f t="shared" si="11"/>
        <v>11</v>
      </c>
      <c r="B27" s="62">
        <f t="shared" si="12"/>
        <v>46569</v>
      </c>
      <c r="C27" s="10">
        <f t="shared" si="13"/>
        <v>68210.881565439369</v>
      </c>
      <c r="D27" s="10">
        <f t="shared" si="0"/>
        <v>0</v>
      </c>
      <c r="E27" s="10">
        <f t="shared" si="1"/>
        <v>68210.881565439369</v>
      </c>
      <c r="F27" s="10">
        <f t="shared" si="2"/>
        <v>1159.5849866124693</v>
      </c>
      <c r="G27" s="10">
        <f t="shared" si="3"/>
        <v>2451.5109510633438</v>
      </c>
      <c r="H27" s="10">
        <f t="shared" si="4"/>
        <v>1291.9259644508745</v>
      </c>
      <c r="I27" s="55"/>
      <c r="J27" s="10">
        <f t="shared" si="5"/>
        <v>0</v>
      </c>
      <c r="K27" s="10">
        <f t="shared" si="6"/>
        <v>2.2737367544323206E-12</v>
      </c>
      <c r="L27" s="10">
        <f t="shared" si="7"/>
        <v>0</v>
      </c>
      <c r="M27" s="10">
        <f t="shared" si="8"/>
        <v>2.2737367544323206E-12</v>
      </c>
      <c r="N27" s="10">
        <f t="shared" si="9"/>
        <v>2451.5109510633461</v>
      </c>
      <c r="O27" s="10">
        <f t="shared" si="10"/>
        <v>66918.955600988498</v>
      </c>
      <c r="P27" s="10">
        <f t="shared" si="14"/>
        <v>13885.576062685293</v>
      </c>
      <c r="Q27" s="10">
        <f t="shared" si="15"/>
        <v>1.0004441719502211E-11</v>
      </c>
    </row>
    <row r="28" spans="1:17">
      <c r="A28">
        <f t="shared" si="11"/>
        <v>12</v>
      </c>
      <c r="B28" s="62">
        <f t="shared" si="12"/>
        <v>46600</v>
      </c>
      <c r="C28" s="10">
        <f t="shared" si="13"/>
        <v>66918.955600988498</v>
      </c>
      <c r="D28" s="10">
        <f t="shared" si="0"/>
        <v>0</v>
      </c>
      <c r="E28" s="10">
        <f t="shared" si="1"/>
        <v>66918.955600988498</v>
      </c>
      <c r="F28" s="10">
        <f t="shared" si="2"/>
        <v>1137.6222452168045</v>
      </c>
      <c r="G28" s="10">
        <f t="shared" si="3"/>
        <v>2451.5109510633442</v>
      </c>
      <c r="H28" s="10">
        <f t="shared" si="4"/>
        <v>1313.8887058465398</v>
      </c>
      <c r="I28" s="55"/>
      <c r="J28" s="10">
        <f t="shared" si="5"/>
        <v>0</v>
      </c>
      <c r="K28" s="10">
        <f t="shared" si="6"/>
        <v>1.8189894035458565E-12</v>
      </c>
      <c r="L28" s="10">
        <f t="shared" si="7"/>
        <v>0</v>
      </c>
      <c r="M28" s="10">
        <f t="shared" si="8"/>
        <v>1.8189894035458565E-12</v>
      </c>
      <c r="N28" s="10">
        <f t="shared" si="9"/>
        <v>2451.5109510633461</v>
      </c>
      <c r="O28" s="10">
        <f t="shared" si="10"/>
        <v>65605.066895141965</v>
      </c>
      <c r="P28" s="10">
        <f t="shared" si="14"/>
        <v>15023.198307902097</v>
      </c>
      <c r="Q28" s="10">
        <f t="shared" si="15"/>
        <v>1.1823431123048067E-11</v>
      </c>
    </row>
    <row r="29" spans="1:17">
      <c r="A29">
        <f t="shared" si="11"/>
        <v>13</v>
      </c>
      <c r="B29" s="62">
        <f t="shared" si="12"/>
        <v>46631</v>
      </c>
      <c r="C29" s="10">
        <f t="shared" si="13"/>
        <v>65605.066895141965</v>
      </c>
      <c r="D29" s="10">
        <f t="shared" si="0"/>
        <v>0</v>
      </c>
      <c r="E29" s="10">
        <f t="shared" si="1"/>
        <v>65605.066895141965</v>
      </c>
      <c r="F29" s="10">
        <f t="shared" si="2"/>
        <v>1115.2861372174134</v>
      </c>
      <c r="G29" s="10">
        <f t="shared" si="3"/>
        <v>2451.5109510633433</v>
      </c>
      <c r="H29" s="10">
        <f t="shared" si="4"/>
        <v>1336.2248138459299</v>
      </c>
      <c r="I29" s="55"/>
      <c r="J29" s="10">
        <f t="shared" si="5"/>
        <v>0</v>
      </c>
      <c r="K29" s="10">
        <f t="shared" si="6"/>
        <v>2.7284841053187847E-12</v>
      </c>
      <c r="L29" s="10">
        <f t="shared" si="7"/>
        <v>0</v>
      </c>
      <c r="M29" s="10">
        <f t="shared" si="8"/>
        <v>2.7284841053187847E-12</v>
      </c>
      <c r="N29" s="10">
        <f t="shared" si="9"/>
        <v>2451.5109510633461</v>
      </c>
      <c r="O29" s="10">
        <f t="shared" si="10"/>
        <v>64268.842081296032</v>
      </c>
      <c r="P29" s="10">
        <f t="shared" si="14"/>
        <v>16138.484445119511</v>
      </c>
      <c r="Q29" s="10">
        <f t="shared" si="15"/>
        <v>1.4551915228366852E-11</v>
      </c>
    </row>
    <row r="30" spans="1:17">
      <c r="A30">
        <f t="shared" si="11"/>
        <v>14</v>
      </c>
      <c r="B30" s="62">
        <f t="shared" si="12"/>
        <v>46661</v>
      </c>
      <c r="C30" s="10">
        <f t="shared" si="13"/>
        <v>64268.842081296032</v>
      </c>
      <c r="D30" s="10">
        <f t="shared" si="0"/>
        <v>0</v>
      </c>
      <c r="E30" s="10">
        <f t="shared" si="1"/>
        <v>64268.842081296032</v>
      </c>
      <c r="F30" s="10">
        <f t="shared" si="2"/>
        <v>1092.5703153820327</v>
      </c>
      <c r="G30" s="10">
        <f t="shared" si="3"/>
        <v>2451.5109510633442</v>
      </c>
      <c r="H30" s="10">
        <f t="shared" si="4"/>
        <v>1358.9406356813115</v>
      </c>
      <c r="I30" s="55"/>
      <c r="J30" s="10">
        <f t="shared" si="5"/>
        <v>0</v>
      </c>
      <c r="K30" s="10">
        <f t="shared" si="6"/>
        <v>1.8189894035458565E-12</v>
      </c>
      <c r="L30" s="10">
        <f t="shared" si="7"/>
        <v>0</v>
      </c>
      <c r="M30" s="10">
        <f t="shared" si="8"/>
        <v>1.8189894035458565E-12</v>
      </c>
      <c r="N30" s="10">
        <f t="shared" si="9"/>
        <v>2451.5109510633461</v>
      </c>
      <c r="O30" s="10">
        <f t="shared" si="10"/>
        <v>62909.90144561472</v>
      </c>
      <c r="P30" s="10">
        <f t="shared" si="14"/>
        <v>17231.054760501545</v>
      </c>
      <c r="Q30" s="10">
        <f t="shared" si="15"/>
        <v>1.6370904631912708E-11</v>
      </c>
    </row>
    <row r="31" spans="1:17">
      <c r="A31">
        <f t="shared" si="11"/>
        <v>15</v>
      </c>
      <c r="B31" s="62">
        <f t="shared" si="12"/>
        <v>46692</v>
      </c>
      <c r="C31" s="10">
        <f t="shared" si="13"/>
        <v>62909.90144561472</v>
      </c>
      <c r="D31" s="10">
        <f t="shared" si="0"/>
        <v>0</v>
      </c>
      <c r="E31" s="10">
        <f t="shared" si="1"/>
        <v>62909.90144561472</v>
      </c>
      <c r="F31" s="10">
        <f t="shared" si="2"/>
        <v>1069.4683245754504</v>
      </c>
      <c r="G31" s="10">
        <f t="shared" si="3"/>
        <v>2451.5109510633433</v>
      </c>
      <c r="H31" s="10">
        <f t="shared" si="4"/>
        <v>1382.0426264878929</v>
      </c>
      <c r="I31" s="55"/>
      <c r="J31" s="10">
        <f t="shared" si="5"/>
        <v>0</v>
      </c>
      <c r="K31" s="10">
        <f t="shared" si="6"/>
        <v>2.7284841053187847E-12</v>
      </c>
      <c r="L31" s="10">
        <f t="shared" si="7"/>
        <v>0</v>
      </c>
      <c r="M31" s="10">
        <f t="shared" si="8"/>
        <v>2.7284841053187847E-12</v>
      </c>
      <c r="N31" s="10">
        <f t="shared" si="9"/>
        <v>2451.5109510633461</v>
      </c>
      <c r="O31" s="10">
        <f t="shared" si="10"/>
        <v>61527.858819126828</v>
      </c>
      <c r="P31" s="10">
        <f t="shared" si="14"/>
        <v>18300.523085076995</v>
      </c>
      <c r="Q31" s="10">
        <f t="shared" si="15"/>
        <v>1.9099388737231493E-11</v>
      </c>
    </row>
    <row r="32" spans="1:17">
      <c r="A32">
        <f t="shared" si="11"/>
        <v>16</v>
      </c>
      <c r="B32" s="62">
        <f t="shared" si="12"/>
        <v>46722</v>
      </c>
      <c r="C32" s="10">
        <f t="shared" si="13"/>
        <v>61527.858819126828</v>
      </c>
      <c r="D32" s="10">
        <f t="shared" si="0"/>
        <v>0</v>
      </c>
      <c r="E32" s="10">
        <f t="shared" si="1"/>
        <v>61527.858819126828</v>
      </c>
      <c r="F32" s="10">
        <f t="shared" si="2"/>
        <v>1045.9735999251561</v>
      </c>
      <c r="G32" s="10">
        <f t="shared" si="3"/>
        <v>2451.5109510633429</v>
      </c>
      <c r="H32" s="10">
        <f t="shared" si="4"/>
        <v>1405.5373511381868</v>
      </c>
      <c r="I32" s="55"/>
      <c r="J32" s="10">
        <f t="shared" si="5"/>
        <v>0</v>
      </c>
      <c r="K32" s="10">
        <f t="shared" si="6"/>
        <v>3.1832314562052488E-12</v>
      </c>
      <c r="L32" s="10">
        <f t="shared" si="7"/>
        <v>0</v>
      </c>
      <c r="M32" s="10">
        <f t="shared" si="8"/>
        <v>3.1832314562052488E-12</v>
      </c>
      <c r="N32" s="10">
        <f t="shared" si="9"/>
        <v>2451.5109510633461</v>
      </c>
      <c r="O32" s="10">
        <f t="shared" si="10"/>
        <v>60122.321467988644</v>
      </c>
      <c r="P32" s="10">
        <f t="shared" si="14"/>
        <v>19346.496685002152</v>
      </c>
      <c r="Q32" s="10">
        <f t="shared" si="15"/>
        <v>2.2282620193436742E-11</v>
      </c>
    </row>
    <row r="33" spans="1:17">
      <c r="A33">
        <f t="shared" si="11"/>
        <v>17</v>
      </c>
      <c r="B33" s="62">
        <f t="shared" si="12"/>
        <v>46753</v>
      </c>
      <c r="C33" s="10">
        <f t="shared" si="13"/>
        <v>60122.321467988644</v>
      </c>
      <c r="D33" s="10">
        <f t="shared" si="0"/>
        <v>0</v>
      </c>
      <c r="E33" s="10">
        <f t="shared" si="1"/>
        <v>60122.321467988644</v>
      </c>
      <c r="F33" s="10">
        <f t="shared" si="2"/>
        <v>1022.079464955807</v>
      </c>
      <c r="G33" s="10">
        <f t="shared" si="3"/>
        <v>2451.5109510633424</v>
      </c>
      <c r="H33" s="10">
        <f t="shared" si="4"/>
        <v>1429.4314861075354</v>
      </c>
      <c r="I33" s="55"/>
      <c r="J33" s="10">
        <f t="shared" si="5"/>
        <v>0</v>
      </c>
      <c r="K33" s="10">
        <f t="shared" si="6"/>
        <v>3.637978807091713E-12</v>
      </c>
      <c r="L33" s="10">
        <f t="shared" si="7"/>
        <v>0</v>
      </c>
      <c r="M33" s="10">
        <f t="shared" si="8"/>
        <v>3.637978807091713E-12</v>
      </c>
      <c r="N33" s="10">
        <f t="shared" si="9"/>
        <v>2451.5109510633461</v>
      </c>
      <c r="O33" s="10">
        <f t="shared" si="10"/>
        <v>58692.889981881104</v>
      </c>
      <c r="P33" s="10">
        <f t="shared" si="14"/>
        <v>20368.57614995796</v>
      </c>
      <c r="Q33" s="10">
        <f t="shared" si="15"/>
        <v>2.5920599000528455E-11</v>
      </c>
    </row>
    <row r="34" spans="1:17">
      <c r="A34">
        <f t="shared" si="11"/>
        <v>18</v>
      </c>
      <c r="B34" s="62">
        <f t="shared" si="12"/>
        <v>46784</v>
      </c>
      <c r="C34" s="10">
        <f t="shared" si="13"/>
        <v>58692.889981881104</v>
      </c>
      <c r="D34" s="10">
        <f t="shared" si="0"/>
        <v>0</v>
      </c>
      <c r="E34" s="10">
        <f t="shared" si="1"/>
        <v>58692.889981881104</v>
      </c>
      <c r="F34" s="10">
        <f t="shared" si="2"/>
        <v>997.77912969197882</v>
      </c>
      <c r="G34" s="10">
        <f t="shared" si="3"/>
        <v>2451.5109510633424</v>
      </c>
      <c r="H34" s="10">
        <f t="shared" si="4"/>
        <v>1453.7318213713636</v>
      </c>
      <c r="I34" s="55"/>
      <c r="J34" s="10">
        <f t="shared" si="5"/>
        <v>0</v>
      </c>
      <c r="K34" s="10">
        <f t="shared" si="6"/>
        <v>3.637978807091713E-12</v>
      </c>
      <c r="L34" s="10">
        <f t="shared" si="7"/>
        <v>0</v>
      </c>
      <c r="M34" s="10">
        <f t="shared" si="8"/>
        <v>3.637978807091713E-12</v>
      </c>
      <c r="N34" s="10">
        <f t="shared" si="9"/>
        <v>2451.5109510633461</v>
      </c>
      <c r="O34" s="10">
        <f t="shared" si="10"/>
        <v>57239.158160509731</v>
      </c>
      <c r="P34" s="10">
        <f t="shared" si="14"/>
        <v>21366.355279649939</v>
      </c>
      <c r="Q34" s="10">
        <f t="shared" si="15"/>
        <v>2.9558577807620168E-11</v>
      </c>
    </row>
    <row r="35" spans="1:17">
      <c r="A35">
        <f t="shared" si="11"/>
        <v>19</v>
      </c>
      <c r="B35" s="62">
        <f t="shared" si="12"/>
        <v>46813</v>
      </c>
      <c r="C35" s="10">
        <f t="shared" si="13"/>
        <v>57239.158160509731</v>
      </c>
      <c r="D35" s="10">
        <f t="shared" si="0"/>
        <v>0</v>
      </c>
      <c r="E35" s="10">
        <f t="shared" si="1"/>
        <v>57239.158160509731</v>
      </c>
      <c r="F35" s="10">
        <f t="shared" si="2"/>
        <v>973.06568872866546</v>
      </c>
      <c r="G35" s="10">
        <f t="shared" si="3"/>
        <v>2451.5109510633415</v>
      </c>
      <c r="H35" s="10">
        <f t="shared" si="4"/>
        <v>1478.445262334676</v>
      </c>
      <c r="I35" s="55"/>
      <c r="J35" s="10">
        <f t="shared" si="5"/>
        <v>0</v>
      </c>
      <c r="K35" s="10">
        <f t="shared" si="6"/>
        <v>4.5474735088646412E-12</v>
      </c>
      <c r="L35" s="10">
        <f t="shared" si="7"/>
        <v>0</v>
      </c>
      <c r="M35" s="10">
        <f t="shared" si="8"/>
        <v>4.5474735088646412E-12</v>
      </c>
      <c r="N35" s="10">
        <f t="shared" si="9"/>
        <v>2451.5109510633461</v>
      </c>
      <c r="O35" s="10">
        <f t="shared" si="10"/>
        <v>55760.71289817505</v>
      </c>
      <c r="P35" s="10">
        <f t="shared" si="14"/>
        <v>22339.420968378603</v>
      </c>
      <c r="Q35" s="10">
        <f t="shared" si="15"/>
        <v>3.4106051316484809E-11</v>
      </c>
    </row>
    <row r="36" spans="1:17">
      <c r="A36">
        <f t="shared" si="11"/>
        <v>20</v>
      </c>
      <c r="B36" s="62">
        <f t="shared" si="12"/>
        <v>46844</v>
      </c>
      <c r="C36" s="10">
        <f t="shared" si="13"/>
        <v>55760.71289817505</v>
      </c>
      <c r="D36" s="10">
        <f t="shared" si="0"/>
        <v>0</v>
      </c>
      <c r="E36" s="10">
        <f t="shared" si="1"/>
        <v>55760.71289817505</v>
      </c>
      <c r="F36" s="10">
        <f t="shared" si="2"/>
        <v>947.93211926897595</v>
      </c>
      <c r="G36" s="10">
        <f t="shared" si="3"/>
        <v>2451.5109510633415</v>
      </c>
      <c r="H36" s="10">
        <f t="shared" si="4"/>
        <v>1503.5788317943657</v>
      </c>
      <c r="I36" s="55"/>
      <c r="J36" s="10">
        <f t="shared" si="5"/>
        <v>0</v>
      </c>
      <c r="K36" s="10">
        <f t="shared" si="6"/>
        <v>4.5474735088646412E-12</v>
      </c>
      <c r="L36" s="10">
        <f t="shared" si="7"/>
        <v>0</v>
      </c>
      <c r="M36" s="10">
        <f t="shared" si="8"/>
        <v>4.5474735088646412E-12</v>
      </c>
      <c r="N36" s="10">
        <f t="shared" si="9"/>
        <v>2451.5109510633461</v>
      </c>
      <c r="O36" s="10">
        <f t="shared" si="10"/>
        <v>54257.134066380677</v>
      </c>
      <c r="P36" s="10">
        <f t="shared" si="14"/>
        <v>23287.353087647578</v>
      </c>
      <c r="Q36" s="10">
        <f t="shared" si="15"/>
        <v>3.865352482534945E-11</v>
      </c>
    </row>
    <row r="37" spans="1:17">
      <c r="A37">
        <f t="shared" si="11"/>
        <v>21</v>
      </c>
      <c r="B37" s="62">
        <f t="shared" si="12"/>
        <v>46874</v>
      </c>
      <c r="C37" s="10">
        <f t="shared" si="13"/>
        <v>54257.134066380677</v>
      </c>
      <c r="D37" s="10">
        <f t="shared" si="0"/>
        <v>0</v>
      </c>
      <c r="E37" s="10">
        <f t="shared" si="1"/>
        <v>54257.134066380677</v>
      </c>
      <c r="F37" s="10">
        <f t="shared" si="2"/>
        <v>922.37127912847154</v>
      </c>
      <c r="G37" s="10">
        <f t="shared" si="3"/>
        <v>2451.5109510633406</v>
      </c>
      <c r="H37" s="10">
        <f t="shared" si="4"/>
        <v>1529.1396719348691</v>
      </c>
      <c r="I37" s="55"/>
      <c r="J37" s="10">
        <f t="shared" si="5"/>
        <v>0</v>
      </c>
      <c r="K37" s="10">
        <f t="shared" si="6"/>
        <v>5.4569682106375694E-12</v>
      </c>
      <c r="L37" s="10">
        <f t="shared" si="7"/>
        <v>0</v>
      </c>
      <c r="M37" s="10">
        <f t="shared" si="8"/>
        <v>5.4569682106375694E-12</v>
      </c>
      <c r="N37" s="10">
        <f t="shared" si="9"/>
        <v>2451.5109510633461</v>
      </c>
      <c r="O37" s="10">
        <f t="shared" si="10"/>
        <v>52727.994394445799</v>
      </c>
      <c r="P37" s="10">
        <f t="shared" si="14"/>
        <v>24209.724366776049</v>
      </c>
      <c r="Q37" s="10">
        <f t="shared" si="15"/>
        <v>4.411049303598702E-11</v>
      </c>
    </row>
    <row r="38" spans="1:17">
      <c r="A38">
        <f t="shared" si="11"/>
        <v>22</v>
      </c>
      <c r="B38" s="62">
        <f t="shared" si="12"/>
        <v>46905</v>
      </c>
      <c r="C38" s="10">
        <f t="shared" si="13"/>
        <v>52727.994394445799</v>
      </c>
      <c r="D38" s="10">
        <f t="shared" si="0"/>
        <v>0</v>
      </c>
      <c r="E38" s="10">
        <f t="shared" si="1"/>
        <v>52727.994394445799</v>
      </c>
      <c r="F38" s="10">
        <f t="shared" si="2"/>
        <v>896.37590470557871</v>
      </c>
      <c r="G38" s="10">
        <f t="shared" si="3"/>
        <v>2451.5109510633401</v>
      </c>
      <c r="H38" s="10">
        <f t="shared" si="4"/>
        <v>1555.1350463577614</v>
      </c>
      <c r="I38" s="55"/>
      <c r="J38" s="10">
        <f t="shared" si="5"/>
        <v>0</v>
      </c>
      <c r="K38" s="10">
        <f t="shared" si="6"/>
        <v>5.9117155615240335E-12</v>
      </c>
      <c r="L38" s="10">
        <f t="shared" si="7"/>
        <v>0</v>
      </c>
      <c r="M38" s="10">
        <f t="shared" si="8"/>
        <v>5.9117155615240335E-12</v>
      </c>
      <c r="N38" s="10">
        <f t="shared" si="9"/>
        <v>2451.5109510633461</v>
      </c>
      <c r="O38" s="10">
        <f t="shared" si="10"/>
        <v>51172.85934808803</v>
      </c>
      <c r="P38" s="10">
        <f t="shared" si="14"/>
        <v>25106.100271481628</v>
      </c>
      <c r="Q38" s="10">
        <f t="shared" si="15"/>
        <v>5.0022208597511053E-11</v>
      </c>
    </row>
    <row r="39" spans="1:17">
      <c r="A39">
        <f t="shared" si="11"/>
        <v>23</v>
      </c>
      <c r="B39" s="62">
        <f t="shared" si="12"/>
        <v>46935</v>
      </c>
      <c r="C39" s="10">
        <f t="shared" si="13"/>
        <v>51172.85934808803</v>
      </c>
      <c r="D39" s="10">
        <f t="shared" si="0"/>
        <v>0</v>
      </c>
      <c r="E39" s="10">
        <f t="shared" si="1"/>
        <v>51172.85934808803</v>
      </c>
      <c r="F39" s="10">
        <f t="shared" si="2"/>
        <v>869.93860891749659</v>
      </c>
      <c r="G39" s="10">
        <f t="shared" si="3"/>
        <v>2451.5109510633388</v>
      </c>
      <c r="H39" s="10">
        <f t="shared" si="4"/>
        <v>1581.5723421458422</v>
      </c>
      <c r="I39" s="55"/>
      <c r="J39" s="10">
        <f t="shared" si="5"/>
        <v>0</v>
      </c>
      <c r="K39" s="10">
        <f t="shared" si="6"/>
        <v>7.2759576141834259E-12</v>
      </c>
      <c r="L39" s="10">
        <f t="shared" si="7"/>
        <v>0</v>
      </c>
      <c r="M39" s="10">
        <f t="shared" si="8"/>
        <v>7.2759576141834259E-12</v>
      </c>
      <c r="N39" s="10">
        <f t="shared" si="9"/>
        <v>2451.5109510633461</v>
      </c>
      <c r="O39" s="10">
        <f t="shared" si="10"/>
        <v>49591.287005942184</v>
      </c>
      <c r="P39" s="10">
        <f t="shared" si="14"/>
        <v>25976.038880399123</v>
      </c>
      <c r="Q39" s="10">
        <f t="shared" si="15"/>
        <v>5.7298166211694479E-11</v>
      </c>
    </row>
    <row r="40" spans="1:17">
      <c r="A40">
        <f t="shared" si="11"/>
        <v>24</v>
      </c>
      <c r="B40" s="62">
        <f t="shared" si="12"/>
        <v>46966</v>
      </c>
      <c r="C40" s="10">
        <f t="shared" si="13"/>
        <v>49591.287005942184</v>
      </c>
      <c r="D40" s="10">
        <f t="shared" si="0"/>
        <v>0</v>
      </c>
      <c r="E40" s="10">
        <f t="shared" si="1"/>
        <v>49591.287005942184</v>
      </c>
      <c r="F40" s="10">
        <f t="shared" si="2"/>
        <v>843.05187910101722</v>
      </c>
      <c r="G40" s="10">
        <f t="shared" si="3"/>
        <v>2451.5109510633374</v>
      </c>
      <c r="H40" s="10">
        <f t="shared" si="4"/>
        <v>1608.4590719623202</v>
      </c>
      <c r="I40" s="55"/>
      <c r="J40" s="10">
        <f t="shared" si="5"/>
        <v>0</v>
      </c>
      <c r="K40" s="10">
        <f t="shared" si="6"/>
        <v>8.6401996668428183E-12</v>
      </c>
      <c r="L40" s="10">
        <f t="shared" si="7"/>
        <v>0</v>
      </c>
      <c r="M40" s="10">
        <f t="shared" si="8"/>
        <v>8.6401996668428183E-12</v>
      </c>
      <c r="N40" s="10">
        <f t="shared" si="9"/>
        <v>2451.5109510633461</v>
      </c>
      <c r="O40" s="10">
        <f t="shared" si="10"/>
        <v>47982.827933979854</v>
      </c>
      <c r="P40" s="10">
        <f t="shared" si="14"/>
        <v>26819.090759500141</v>
      </c>
      <c r="Q40" s="10">
        <f t="shared" si="15"/>
        <v>6.5938365878537297E-11</v>
      </c>
    </row>
    <row r="41" spans="1:17">
      <c r="A41">
        <f t="shared" si="11"/>
        <v>25</v>
      </c>
      <c r="B41" s="62">
        <f t="shared" si="12"/>
        <v>46997</v>
      </c>
      <c r="C41" s="10">
        <f t="shared" si="13"/>
        <v>47982.827933979854</v>
      </c>
      <c r="D41" s="10">
        <f t="shared" si="0"/>
        <v>0</v>
      </c>
      <c r="E41" s="10">
        <f t="shared" si="1"/>
        <v>47982.827933979854</v>
      </c>
      <c r="F41" s="10">
        <f t="shared" si="2"/>
        <v>815.70807487765762</v>
      </c>
      <c r="G41" s="10">
        <f t="shared" si="3"/>
        <v>2451.510951063337</v>
      </c>
      <c r="H41" s="10">
        <f t="shared" si="4"/>
        <v>1635.8028761856795</v>
      </c>
      <c r="I41" s="55"/>
      <c r="J41" s="10">
        <f t="shared" si="5"/>
        <v>0</v>
      </c>
      <c r="K41" s="10">
        <f t="shared" si="6"/>
        <v>9.0949470177292824E-12</v>
      </c>
      <c r="L41" s="10">
        <f t="shared" si="7"/>
        <v>0</v>
      </c>
      <c r="M41" s="10">
        <f t="shared" si="8"/>
        <v>9.0949470177292824E-12</v>
      </c>
      <c r="N41" s="10">
        <f t="shared" si="9"/>
        <v>2451.5109510633461</v>
      </c>
      <c r="O41" s="10">
        <f t="shared" si="10"/>
        <v>46347.02505779417</v>
      </c>
      <c r="P41" s="10">
        <f t="shared" si="14"/>
        <v>27634.798834377798</v>
      </c>
      <c r="Q41" s="10">
        <f t="shared" si="15"/>
        <v>7.503331289626658E-11</v>
      </c>
    </row>
    <row r="42" spans="1:17">
      <c r="A42">
        <f t="shared" si="11"/>
        <v>26</v>
      </c>
      <c r="B42" s="62">
        <f t="shared" si="12"/>
        <v>47027</v>
      </c>
      <c r="C42" s="10">
        <f t="shared" si="13"/>
        <v>46347.02505779417</v>
      </c>
      <c r="D42" s="10">
        <f t="shared" si="0"/>
        <v>0</v>
      </c>
      <c r="E42" s="10">
        <f t="shared" si="1"/>
        <v>46347.02505779417</v>
      </c>
      <c r="F42" s="10">
        <f t="shared" si="2"/>
        <v>787.89942598250093</v>
      </c>
      <c r="G42" s="10">
        <f t="shared" si="3"/>
        <v>2451.510951063337</v>
      </c>
      <c r="H42" s="10">
        <f t="shared" si="4"/>
        <v>1663.6115250808361</v>
      </c>
      <c r="I42" s="55"/>
      <c r="J42" s="10">
        <f t="shared" si="5"/>
        <v>0</v>
      </c>
      <c r="K42" s="10">
        <f t="shared" si="6"/>
        <v>9.0949470177292824E-12</v>
      </c>
      <c r="L42" s="10">
        <f t="shared" si="7"/>
        <v>0</v>
      </c>
      <c r="M42" s="10">
        <f t="shared" si="8"/>
        <v>9.0949470177292824E-12</v>
      </c>
      <c r="N42" s="10">
        <f t="shared" si="9"/>
        <v>2451.5109510633461</v>
      </c>
      <c r="O42" s="10">
        <f t="shared" si="10"/>
        <v>44683.413532713326</v>
      </c>
      <c r="P42" s="10">
        <f t="shared" si="14"/>
        <v>28422.698260360299</v>
      </c>
      <c r="Q42" s="10">
        <f t="shared" si="15"/>
        <v>8.4128259913995862E-11</v>
      </c>
    </row>
    <row r="43" spans="1:17">
      <c r="A43">
        <f t="shared" si="11"/>
        <v>27</v>
      </c>
      <c r="B43" s="62">
        <f t="shared" si="12"/>
        <v>47058</v>
      </c>
      <c r="C43" s="10">
        <f t="shared" si="13"/>
        <v>44683.413532713326</v>
      </c>
      <c r="D43" s="10">
        <f t="shared" si="0"/>
        <v>0</v>
      </c>
      <c r="E43" s="10">
        <f t="shared" si="1"/>
        <v>44683.413532713326</v>
      </c>
      <c r="F43" s="10">
        <f t="shared" si="2"/>
        <v>759.6180300561266</v>
      </c>
      <c r="G43" s="10">
        <f t="shared" si="3"/>
        <v>2451.5109510633351</v>
      </c>
      <c r="H43" s="10">
        <f t="shared" si="4"/>
        <v>1691.8929210072085</v>
      </c>
      <c r="I43" s="55"/>
      <c r="J43" s="10">
        <f t="shared" si="5"/>
        <v>0</v>
      </c>
      <c r="K43" s="10">
        <f t="shared" si="6"/>
        <v>1.0913936421275139E-11</v>
      </c>
      <c r="L43" s="10">
        <f t="shared" si="7"/>
        <v>0</v>
      </c>
      <c r="M43" s="10">
        <f t="shared" si="8"/>
        <v>1.0913936421275139E-11</v>
      </c>
      <c r="N43" s="10">
        <f t="shared" si="9"/>
        <v>2451.5109510633461</v>
      </c>
      <c r="O43" s="10">
        <f t="shared" si="10"/>
        <v>42991.520611706102</v>
      </c>
      <c r="P43" s="10">
        <f t="shared" si="14"/>
        <v>29182.316290416427</v>
      </c>
      <c r="Q43" s="10">
        <f t="shared" si="15"/>
        <v>9.5042196335271001E-11</v>
      </c>
    </row>
    <row r="44" spans="1:17">
      <c r="A44">
        <f t="shared" si="11"/>
        <v>28</v>
      </c>
      <c r="B44" s="62">
        <f t="shared" si="12"/>
        <v>47088</v>
      </c>
      <c r="C44" s="10">
        <f t="shared" si="13"/>
        <v>42991.520611706102</v>
      </c>
      <c r="D44" s="10">
        <f t="shared" si="0"/>
        <v>0</v>
      </c>
      <c r="E44" s="10">
        <f t="shared" si="1"/>
        <v>42991.520611706102</v>
      </c>
      <c r="F44" s="10">
        <f t="shared" si="2"/>
        <v>730.85585039900377</v>
      </c>
      <c r="G44" s="10">
        <f t="shared" si="3"/>
        <v>2451.5109510633338</v>
      </c>
      <c r="H44" s="10">
        <f t="shared" si="4"/>
        <v>1720.6551006643299</v>
      </c>
      <c r="I44" s="55"/>
      <c r="J44" s="10">
        <f t="shared" si="5"/>
        <v>0</v>
      </c>
      <c r="K44" s="10">
        <f t="shared" si="6"/>
        <v>1.2278178473934531E-11</v>
      </c>
      <c r="L44" s="10">
        <f t="shared" si="7"/>
        <v>0</v>
      </c>
      <c r="M44" s="10">
        <f t="shared" si="8"/>
        <v>1.2278178473934531E-11</v>
      </c>
      <c r="N44" s="10">
        <f t="shared" si="9"/>
        <v>2451.5109510633461</v>
      </c>
      <c r="O44" s="10">
        <f t="shared" si="10"/>
        <v>41270.86551104176</v>
      </c>
      <c r="P44" s="10">
        <f t="shared" si="14"/>
        <v>29913.17214081543</v>
      </c>
      <c r="Q44" s="10">
        <f t="shared" si="15"/>
        <v>1.0732037480920553E-10</v>
      </c>
    </row>
    <row r="45" spans="1:17">
      <c r="A45">
        <f t="shared" si="11"/>
        <v>29</v>
      </c>
      <c r="B45" s="62">
        <f t="shared" si="12"/>
        <v>47119</v>
      </c>
      <c r="C45" s="10">
        <f t="shared" si="13"/>
        <v>41270.86551104176</v>
      </c>
      <c r="D45" s="10">
        <f t="shared" si="0"/>
        <v>0</v>
      </c>
      <c r="E45" s="10">
        <f t="shared" si="1"/>
        <v>41270.86551104176</v>
      </c>
      <c r="F45" s="10">
        <f t="shared" si="2"/>
        <v>701.60471368770993</v>
      </c>
      <c r="G45" s="10">
        <f t="shared" si="3"/>
        <v>2451.5109510633333</v>
      </c>
      <c r="H45" s="10">
        <f t="shared" si="4"/>
        <v>1749.9062373756233</v>
      </c>
      <c r="I45" s="55"/>
      <c r="J45" s="10">
        <f t="shared" si="5"/>
        <v>0</v>
      </c>
      <c r="K45" s="10">
        <f t="shared" si="6"/>
        <v>1.2732925824820995E-11</v>
      </c>
      <c r="L45" s="10">
        <f t="shared" si="7"/>
        <v>0</v>
      </c>
      <c r="M45" s="10">
        <f t="shared" si="8"/>
        <v>1.2732925824820995E-11</v>
      </c>
      <c r="N45" s="10">
        <f t="shared" si="9"/>
        <v>2451.5109510633461</v>
      </c>
      <c r="O45" s="10">
        <f t="shared" si="10"/>
        <v>39520.959273666122</v>
      </c>
      <c r="P45" s="10">
        <f t="shared" si="14"/>
        <v>30614.776854503139</v>
      </c>
      <c r="Q45" s="10">
        <f t="shared" si="15"/>
        <v>1.2005330063402653E-10</v>
      </c>
    </row>
    <row r="46" spans="1:17">
      <c r="A46">
        <f t="shared" si="11"/>
        <v>30</v>
      </c>
      <c r="B46" s="62">
        <f t="shared" si="12"/>
        <v>47150</v>
      </c>
      <c r="C46" s="10">
        <f t="shared" si="13"/>
        <v>39520.959273666122</v>
      </c>
      <c r="D46" s="10">
        <f t="shared" si="0"/>
        <v>0</v>
      </c>
      <c r="E46" s="10">
        <f t="shared" si="1"/>
        <v>39520.959273666122</v>
      </c>
      <c r="F46" s="10">
        <f t="shared" si="2"/>
        <v>671.85630765232406</v>
      </c>
      <c r="G46" s="10">
        <f t="shared" si="3"/>
        <v>2451.5109510633315</v>
      </c>
      <c r="H46" s="10">
        <f t="shared" si="4"/>
        <v>1779.6546434110073</v>
      </c>
      <c r="I46" s="55"/>
      <c r="J46" s="10">
        <f t="shared" si="5"/>
        <v>0</v>
      </c>
      <c r="K46" s="10">
        <f t="shared" si="6"/>
        <v>1.4551915228366852E-11</v>
      </c>
      <c r="L46" s="10">
        <f t="shared" si="7"/>
        <v>0</v>
      </c>
      <c r="M46" s="10">
        <f t="shared" si="8"/>
        <v>1.4551915228366852E-11</v>
      </c>
      <c r="N46" s="10">
        <f t="shared" si="9"/>
        <v>2451.5109510633461</v>
      </c>
      <c r="O46" s="10">
        <f t="shared" si="10"/>
        <v>37741.304630255101</v>
      </c>
      <c r="P46" s="10">
        <f t="shared" si="14"/>
        <v>31286.633162155464</v>
      </c>
      <c r="Q46" s="10">
        <f t="shared" si="15"/>
        <v>1.3460521586239338E-10</v>
      </c>
    </row>
    <row r="47" spans="1:17">
      <c r="A47">
        <f t="shared" si="11"/>
        <v>31</v>
      </c>
      <c r="B47" s="62">
        <f t="shared" si="12"/>
        <v>47178</v>
      </c>
      <c r="C47" s="10">
        <f t="shared" si="13"/>
        <v>37741.304630255101</v>
      </c>
      <c r="D47" s="10">
        <f t="shared" si="0"/>
        <v>0</v>
      </c>
      <c r="E47" s="10">
        <f t="shared" si="1"/>
        <v>37741.304630255101</v>
      </c>
      <c r="F47" s="10">
        <f t="shared" si="2"/>
        <v>641.60217871433679</v>
      </c>
      <c r="G47" s="10">
        <f t="shared" si="3"/>
        <v>2451.5109510633301</v>
      </c>
      <c r="H47" s="10">
        <f t="shared" si="4"/>
        <v>1809.9087723489934</v>
      </c>
      <c r="I47" s="55"/>
      <c r="J47" s="10">
        <f t="shared" si="5"/>
        <v>0</v>
      </c>
      <c r="K47" s="10">
        <f t="shared" si="6"/>
        <v>1.5916157281026244E-11</v>
      </c>
      <c r="L47" s="10">
        <f t="shared" si="7"/>
        <v>0</v>
      </c>
      <c r="M47" s="10">
        <f t="shared" si="8"/>
        <v>1.5916157281026244E-11</v>
      </c>
      <c r="N47" s="10">
        <f t="shared" si="9"/>
        <v>2451.5109510633461</v>
      </c>
      <c r="O47" s="10">
        <f t="shared" si="10"/>
        <v>35931.395857906093</v>
      </c>
      <c r="P47" s="10">
        <f t="shared" si="14"/>
        <v>31928.2353408698</v>
      </c>
      <c r="Q47" s="10">
        <f t="shared" si="15"/>
        <v>1.5052137314341962E-10</v>
      </c>
    </row>
    <row r="48" spans="1:17">
      <c r="A48">
        <f t="shared" si="11"/>
        <v>32</v>
      </c>
      <c r="B48" s="62">
        <f t="shared" si="12"/>
        <v>47209</v>
      </c>
      <c r="C48" s="10">
        <f t="shared" si="13"/>
        <v>35931.395857906093</v>
      </c>
      <c r="D48" s="10">
        <f t="shared" si="0"/>
        <v>0</v>
      </c>
      <c r="E48" s="10">
        <f t="shared" si="1"/>
        <v>35931.395857906093</v>
      </c>
      <c r="F48" s="10">
        <f t="shared" si="2"/>
        <v>610.83372958440361</v>
      </c>
      <c r="G48" s="10">
        <f t="shared" si="3"/>
        <v>2451.5109510633283</v>
      </c>
      <c r="H48" s="10">
        <f t="shared" si="4"/>
        <v>1840.6772214789248</v>
      </c>
      <c r="I48" s="55"/>
      <c r="J48" s="10">
        <f t="shared" si="5"/>
        <v>0</v>
      </c>
      <c r="K48" s="10">
        <f t="shared" si="6"/>
        <v>1.7735146684572101E-11</v>
      </c>
      <c r="L48" s="10">
        <f t="shared" si="7"/>
        <v>0</v>
      </c>
      <c r="M48" s="10">
        <f t="shared" si="8"/>
        <v>1.7735146684572101E-11</v>
      </c>
      <c r="N48" s="10">
        <f t="shared" si="9"/>
        <v>2451.5109510633461</v>
      </c>
      <c r="O48" s="10">
        <f t="shared" si="10"/>
        <v>34090.718636427155</v>
      </c>
      <c r="P48" s="10">
        <f t="shared" si="14"/>
        <v>32539.069070454203</v>
      </c>
      <c r="Q48" s="10">
        <f t="shared" si="15"/>
        <v>1.6825651982799172E-10</v>
      </c>
    </row>
    <row r="49" spans="1:17">
      <c r="A49">
        <f t="shared" si="11"/>
        <v>33</v>
      </c>
      <c r="B49" s="62">
        <f t="shared" si="12"/>
        <v>47239</v>
      </c>
      <c r="C49" s="10">
        <f t="shared" si="13"/>
        <v>34090.718636427155</v>
      </c>
      <c r="D49" s="10">
        <f t="shared" ref="D49:D80" si="16">IF(OR(C49&lt;=0,A49&gt;$C$7),0,C49*$C$9)</f>
        <v>0</v>
      </c>
      <c r="E49" s="10">
        <f t="shared" ref="E49:E80" si="17">MAX(0,C49+D49)</f>
        <v>34090.718636427155</v>
      </c>
      <c r="F49" s="10">
        <f t="shared" ref="F49:F80" si="18">IF(E49&lt;=0,0,E49*$C$6)</f>
        <v>579.54221681926163</v>
      </c>
      <c r="G49" s="10">
        <f t="shared" ref="G49:G80" si="19">IF(E49&lt;=0,0,IF($C$6=0,E49/($C$7-A49+1),E49*$C$6/(1-(1+$C$6)^(-($C$7-A49+1)))))</f>
        <v>2451.5109510633256</v>
      </c>
      <c r="H49" s="10">
        <f t="shared" ref="H49:H80" si="20">MAX(0,MIN(E49,G49-F49))</f>
        <v>1871.9687342440639</v>
      </c>
      <c r="I49" s="55"/>
      <c r="J49" s="10">
        <f t="shared" ref="J49:J80" si="21">IF(E49&lt;=0,0,IF(ISNUMBER(I49),MAX(0,I49),IF(A49&gt;=$C$11,$C$10,0)))</f>
        <v>0</v>
      </c>
      <c r="K49" s="10">
        <f t="shared" ref="K49:K80" si="22">IF(OR(E49&lt;=0,$C$12&lt;&gt;"Sim",A49&lt;$C$11),0,MAX(0,$F$5-G49))</f>
        <v>2.0463630789890885E-11</v>
      </c>
      <c r="L49" s="10">
        <f t="shared" ref="L49:L80" si="23">IF(E49&lt;=0,0,MIN(J49,MAX(0,E49-H49)))</f>
        <v>0</v>
      </c>
      <c r="M49" s="10">
        <f t="shared" ref="M49:M80" si="24">IF(E49&lt;=0,0,MIN(K49,MAX(0,E49-H49-L49)))</f>
        <v>2.0463630789890885E-11</v>
      </c>
      <c r="N49" s="10">
        <f t="shared" ref="N49:N80" si="25">IF(E49&lt;=0,0,G49+L49+M49)</f>
        <v>2451.5109510633461</v>
      </c>
      <c r="O49" s="10">
        <f t="shared" ref="O49:O80" si="26">MAX(0,E49-H49-L49-M49)</f>
        <v>32218.74990218307</v>
      </c>
      <c r="P49" s="10">
        <f t="shared" si="14"/>
        <v>33118.611287273467</v>
      </c>
      <c r="Q49" s="10">
        <f t="shared" si="15"/>
        <v>1.8872015061788261E-10</v>
      </c>
    </row>
    <row r="50" spans="1:17">
      <c r="A50">
        <f t="shared" ref="A50:A81" si="27">A49+1</f>
        <v>34</v>
      </c>
      <c r="B50" s="62">
        <f t="shared" ref="B50:B81" si="28">DATE(YEAR(B49),MONTH(B49)+1,1)</f>
        <v>47270</v>
      </c>
      <c r="C50" s="10">
        <f t="shared" ref="C50:C81" si="29">O49</f>
        <v>32218.74990218307</v>
      </c>
      <c r="D50" s="10">
        <f t="shared" si="16"/>
        <v>0</v>
      </c>
      <c r="E50" s="10">
        <f t="shared" si="17"/>
        <v>32218.74990218307</v>
      </c>
      <c r="F50" s="10">
        <f t="shared" si="18"/>
        <v>547.71874833711217</v>
      </c>
      <c r="G50" s="10">
        <f t="shared" si="19"/>
        <v>2451.5109510633247</v>
      </c>
      <c r="H50" s="10">
        <f t="shared" si="20"/>
        <v>1903.7922027262125</v>
      </c>
      <c r="I50" s="55"/>
      <c r="J50" s="10">
        <f t="shared" si="21"/>
        <v>0</v>
      </c>
      <c r="K50" s="10">
        <f t="shared" si="22"/>
        <v>2.1373125491663814E-11</v>
      </c>
      <c r="L50" s="10">
        <f t="shared" si="23"/>
        <v>0</v>
      </c>
      <c r="M50" s="10">
        <f t="shared" si="24"/>
        <v>2.1373125491663814E-11</v>
      </c>
      <c r="N50" s="10">
        <f t="shared" si="25"/>
        <v>2451.5109510633461</v>
      </c>
      <c r="O50" s="10">
        <f t="shared" si="26"/>
        <v>30314.957699456834</v>
      </c>
      <c r="P50" s="10">
        <f t="shared" ref="P50:P81" si="30">P49+F50</f>
        <v>33666.330035610576</v>
      </c>
      <c r="Q50" s="10">
        <f t="shared" ref="Q50:Q81" si="31">Q49+L50+M50</f>
        <v>2.1009327610954642E-10</v>
      </c>
    </row>
    <row r="51" spans="1:17">
      <c r="A51">
        <f t="shared" si="27"/>
        <v>35</v>
      </c>
      <c r="B51" s="62">
        <f t="shared" si="28"/>
        <v>47300</v>
      </c>
      <c r="C51" s="10">
        <f t="shared" si="29"/>
        <v>30314.957699456834</v>
      </c>
      <c r="D51" s="10">
        <f t="shared" si="16"/>
        <v>0</v>
      </c>
      <c r="E51" s="10">
        <f t="shared" si="17"/>
        <v>30314.957699456834</v>
      </c>
      <c r="F51" s="10">
        <f t="shared" si="18"/>
        <v>515.35428089076618</v>
      </c>
      <c r="G51" s="10">
        <f t="shared" si="19"/>
        <v>2451.510951063321</v>
      </c>
      <c r="H51" s="10">
        <f t="shared" si="20"/>
        <v>1936.1566701725549</v>
      </c>
      <c r="I51" s="55"/>
      <c r="J51" s="10">
        <f t="shared" si="21"/>
        <v>0</v>
      </c>
      <c r="K51" s="10">
        <f t="shared" si="22"/>
        <v>2.5011104298755527E-11</v>
      </c>
      <c r="L51" s="10">
        <f t="shared" si="23"/>
        <v>0</v>
      </c>
      <c r="M51" s="10">
        <f t="shared" si="24"/>
        <v>2.5011104298755527E-11</v>
      </c>
      <c r="N51" s="10">
        <f t="shared" si="25"/>
        <v>2451.5109510633461</v>
      </c>
      <c r="O51" s="10">
        <f t="shared" si="26"/>
        <v>28378.801029284255</v>
      </c>
      <c r="P51" s="10">
        <f t="shared" si="30"/>
        <v>34181.684316501342</v>
      </c>
      <c r="Q51" s="10">
        <f t="shared" si="31"/>
        <v>2.3510438040830195E-10</v>
      </c>
    </row>
    <row r="52" spans="1:17">
      <c r="A52">
        <f t="shared" si="27"/>
        <v>36</v>
      </c>
      <c r="B52" s="62">
        <f t="shared" si="28"/>
        <v>47331</v>
      </c>
      <c r="C52" s="10">
        <f t="shared" si="29"/>
        <v>28378.801029284255</v>
      </c>
      <c r="D52" s="10">
        <f t="shared" si="16"/>
        <v>0</v>
      </c>
      <c r="E52" s="10">
        <f t="shared" si="17"/>
        <v>28378.801029284255</v>
      </c>
      <c r="F52" s="10">
        <f t="shared" si="18"/>
        <v>482.43961749783239</v>
      </c>
      <c r="G52" s="10">
        <f t="shared" si="19"/>
        <v>2451.5109510633188</v>
      </c>
      <c r="H52" s="10">
        <f t="shared" si="20"/>
        <v>1969.0713335654864</v>
      </c>
      <c r="I52" s="55"/>
      <c r="J52" s="10">
        <f t="shared" si="21"/>
        <v>0</v>
      </c>
      <c r="K52" s="10">
        <f t="shared" si="22"/>
        <v>2.7284841053187847E-11</v>
      </c>
      <c r="L52" s="10">
        <f t="shared" si="23"/>
        <v>0</v>
      </c>
      <c r="M52" s="10">
        <f t="shared" si="24"/>
        <v>2.7284841053187847E-11</v>
      </c>
      <c r="N52" s="10">
        <f t="shared" si="25"/>
        <v>2451.5109510633461</v>
      </c>
      <c r="O52" s="10">
        <f t="shared" si="26"/>
        <v>26409.729695718743</v>
      </c>
      <c r="P52" s="10">
        <f t="shared" si="30"/>
        <v>34664.123933999173</v>
      </c>
      <c r="Q52" s="10">
        <f t="shared" si="31"/>
        <v>2.623892214614898E-10</v>
      </c>
    </row>
    <row r="53" spans="1:17">
      <c r="A53">
        <f t="shared" si="27"/>
        <v>37</v>
      </c>
      <c r="B53" s="62">
        <f t="shared" si="28"/>
        <v>47362</v>
      </c>
      <c r="C53" s="10">
        <f t="shared" si="29"/>
        <v>26409.729695718743</v>
      </c>
      <c r="D53" s="10">
        <f t="shared" si="16"/>
        <v>0</v>
      </c>
      <c r="E53" s="10">
        <f t="shared" si="17"/>
        <v>26409.729695718743</v>
      </c>
      <c r="F53" s="10">
        <f t="shared" si="18"/>
        <v>448.96540482721866</v>
      </c>
      <c r="G53" s="10">
        <f t="shared" si="19"/>
        <v>2451.5109510633151</v>
      </c>
      <c r="H53" s="10">
        <f t="shared" si="20"/>
        <v>2002.5455462360965</v>
      </c>
      <c r="I53" s="55"/>
      <c r="J53" s="10">
        <f t="shared" si="21"/>
        <v>0</v>
      </c>
      <c r="K53" s="10">
        <f t="shared" si="22"/>
        <v>3.092281986027956E-11</v>
      </c>
      <c r="L53" s="10">
        <f t="shared" si="23"/>
        <v>0</v>
      </c>
      <c r="M53" s="10">
        <f t="shared" si="24"/>
        <v>3.092281986027956E-11</v>
      </c>
      <c r="N53" s="10">
        <f t="shared" si="25"/>
        <v>2451.5109510633461</v>
      </c>
      <c r="O53" s="10">
        <f t="shared" si="26"/>
        <v>24407.184149482615</v>
      </c>
      <c r="P53" s="10">
        <f t="shared" si="30"/>
        <v>35113.089338826394</v>
      </c>
      <c r="Q53" s="10">
        <f t="shared" si="31"/>
        <v>2.9331204132176936E-10</v>
      </c>
    </row>
    <row r="54" spans="1:17">
      <c r="A54">
        <f t="shared" si="27"/>
        <v>38</v>
      </c>
      <c r="B54" s="62">
        <f t="shared" si="28"/>
        <v>47392</v>
      </c>
      <c r="C54" s="10">
        <f t="shared" si="29"/>
        <v>24407.184149482615</v>
      </c>
      <c r="D54" s="10">
        <f t="shared" si="16"/>
        <v>0</v>
      </c>
      <c r="E54" s="10">
        <f t="shared" si="17"/>
        <v>24407.184149482615</v>
      </c>
      <c r="F54" s="10">
        <f t="shared" si="18"/>
        <v>414.92213054120447</v>
      </c>
      <c r="G54" s="10">
        <f t="shared" si="19"/>
        <v>2451.510951063311</v>
      </c>
      <c r="H54" s="10">
        <f t="shared" si="20"/>
        <v>2036.5888205221065</v>
      </c>
      <c r="I54" s="55"/>
      <c r="J54" s="10">
        <f t="shared" si="21"/>
        <v>0</v>
      </c>
      <c r="K54" s="10">
        <f t="shared" si="22"/>
        <v>3.5015546018257737E-11</v>
      </c>
      <c r="L54" s="10">
        <f t="shared" si="23"/>
        <v>0</v>
      </c>
      <c r="M54" s="10">
        <f t="shared" si="24"/>
        <v>3.5015546018257737E-11</v>
      </c>
      <c r="N54" s="10">
        <f t="shared" si="25"/>
        <v>2451.5109510633461</v>
      </c>
      <c r="O54" s="10">
        <f t="shared" si="26"/>
        <v>22370.595328960473</v>
      </c>
      <c r="P54" s="10">
        <f t="shared" si="30"/>
        <v>35528.011469367601</v>
      </c>
      <c r="Q54" s="10">
        <f t="shared" si="31"/>
        <v>3.2832758734002709E-10</v>
      </c>
    </row>
    <row r="55" spans="1:17">
      <c r="A55">
        <f t="shared" si="27"/>
        <v>39</v>
      </c>
      <c r="B55" s="62">
        <f t="shared" si="28"/>
        <v>47423</v>
      </c>
      <c r="C55" s="10">
        <f t="shared" si="29"/>
        <v>22370.595328960473</v>
      </c>
      <c r="D55" s="10">
        <f t="shared" si="16"/>
        <v>0</v>
      </c>
      <c r="E55" s="10">
        <f t="shared" si="17"/>
        <v>22370.595328960473</v>
      </c>
      <c r="F55" s="10">
        <f t="shared" si="18"/>
        <v>380.30012059232808</v>
      </c>
      <c r="G55" s="10">
        <f t="shared" si="19"/>
        <v>2451.5109510633047</v>
      </c>
      <c r="H55" s="10">
        <f t="shared" si="20"/>
        <v>2071.2108304709764</v>
      </c>
      <c r="I55" s="55"/>
      <c r="J55" s="10">
        <f t="shared" si="21"/>
        <v>0</v>
      </c>
      <c r="K55" s="10">
        <f t="shared" si="22"/>
        <v>4.1382008930668235E-11</v>
      </c>
      <c r="L55" s="10">
        <f t="shared" si="23"/>
        <v>0</v>
      </c>
      <c r="M55" s="10">
        <f t="shared" si="24"/>
        <v>4.1382008930668235E-11</v>
      </c>
      <c r="N55" s="10">
        <f t="shared" si="25"/>
        <v>2451.5109510633461</v>
      </c>
      <c r="O55" s="10">
        <f t="shared" si="26"/>
        <v>20299.384498489457</v>
      </c>
      <c r="P55" s="10">
        <f t="shared" si="30"/>
        <v>35908.311589959929</v>
      </c>
      <c r="Q55" s="10">
        <f t="shared" si="31"/>
        <v>3.6970959627069533E-10</v>
      </c>
    </row>
    <row r="56" spans="1:17">
      <c r="A56">
        <f t="shared" si="27"/>
        <v>40</v>
      </c>
      <c r="B56" s="62">
        <f t="shared" si="28"/>
        <v>47453</v>
      </c>
      <c r="C56" s="10">
        <f t="shared" si="29"/>
        <v>20299.384498489457</v>
      </c>
      <c r="D56" s="10">
        <f t="shared" si="16"/>
        <v>0</v>
      </c>
      <c r="E56" s="10">
        <f t="shared" si="17"/>
        <v>20299.384498489457</v>
      </c>
      <c r="F56" s="10">
        <f t="shared" si="18"/>
        <v>345.08953647432077</v>
      </c>
      <c r="G56" s="10">
        <f t="shared" si="19"/>
        <v>2451.5109510632965</v>
      </c>
      <c r="H56" s="10">
        <f t="shared" si="20"/>
        <v>2106.4214145889755</v>
      </c>
      <c r="I56" s="55"/>
      <c r="J56" s="10">
        <f t="shared" si="21"/>
        <v>0</v>
      </c>
      <c r="K56" s="10">
        <f t="shared" si="22"/>
        <v>4.9567461246624589E-11</v>
      </c>
      <c r="L56" s="10">
        <f t="shared" si="23"/>
        <v>0</v>
      </c>
      <c r="M56" s="10">
        <f t="shared" si="24"/>
        <v>4.9567461246624589E-11</v>
      </c>
      <c r="N56" s="10">
        <f t="shared" si="25"/>
        <v>2451.5109510633461</v>
      </c>
      <c r="O56" s="10">
        <f t="shared" si="26"/>
        <v>18192.963083900431</v>
      </c>
      <c r="P56" s="10">
        <f t="shared" si="30"/>
        <v>36253.401126434248</v>
      </c>
      <c r="Q56" s="10">
        <f t="shared" si="31"/>
        <v>4.1927705751731992E-10</v>
      </c>
    </row>
    <row r="57" spans="1:17">
      <c r="A57">
        <f t="shared" si="27"/>
        <v>41</v>
      </c>
      <c r="B57" s="62">
        <f t="shared" si="28"/>
        <v>47484</v>
      </c>
      <c r="C57" s="10">
        <f t="shared" si="29"/>
        <v>18192.963083900431</v>
      </c>
      <c r="D57" s="10">
        <f t="shared" si="16"/>
        <v>0</v>
      </c>
      <c r="E57" s="10">
        <f t="shared" si="17"/>
        <v>18192.963083900431</v>
      </c>
      <c r="F57" s="10">
        <f t="shared" si="18"/>
        <v>309.28037242630734</v>
      </c>
      <c r="G57" s="10">
        <f t="shared" si="19"/>
        <v>2451.5109510632897</v>
      </c>
      <c r="H57" s="10">
        <f t="shared" si="20"/>
        <v>2142.2305786369825</v>
      </c>
      <c r="I57" s="55"/>
      <c r="J57" s="10">
        <f t="shared" si="21"/>
        <v>0</v>
      </c>
      <c r="K57" s="10">
        <f t="shared" si="22"/>
        <v>5.6388671509921551E-11</v>
      </c>
      <c r="L57" s="10">
        <f t="shared" si="23"/>
        <v>0</v>
      </c>
      <c r="M57" s="10">
        <f t="shared" si="24"/>
        <v>5.6388671509921551E-11</v>
      </c>
      <c r="N57" s="10">
        <f t="shared" si="25"/>
        <v>2451.5109510633461</v>
      </c>
      <c r="O57" s="10">
        <f t="shared" si="26"/>
        <v>16050.732505263391</v>
      </c>
      <c r="P57" s="10">
        <f t="shared" si="30"/>
        <v>36562.681498860555</v>
      </c>
      <c r="Q57" s="10">
        <f t="shared" si="31"/>
        <v>4.7566572902724147E-10</v>
      </c>
    </row>
    <row r="58" spans="1:17">
      <c r="A58">
        <f t="shared" si="27"/>
        <v>42</v>
      </c>
      <c r="B58" s="62">
        <f t="shared" si="28"/>
        <v>47515</v>
      </c>
      <c r="C58" s="10">
        <f t="shared" si="29"/>
        <v>16050.732505263391</v>
      </c>
      <c r="D58" s="10">
        <f t="shared" si="16"/>
        <v>0</v>
      </c>
      <c r="E58" s="10">
        <f t="shared" si="17"/>
        <v>16050.732505263391</v>
      </c>
      <c r="F58" s="10">
        <f t="shared" si="18"/>
        <v>272.8624525894777</v>
      </c>
      <c r="G58" s="10">
        <f t="shared" si="19"/>
        <v>2451.5109510632838</v>
      </c>
      <c r="H58" s="10">
        <f t="shared" si="20"/>
        <v>2178.6484984738063</v>
      </c>
      <c r="I58" s="55"/>
      <c r="J58" s="10">
        <f t="shared" si="21"/>
        <v>0</v>
      </c>
      <c r="K58" s="10">
        <f t="shared" si="22"/>
        <v>6.2300387071445584E-11</v>
      </c>
      <c r="L58" s="10">
        <f t="shared" si="23"/>
        <v>0</v>
      </c>
      <c r="M58" s="10">
        <f t="shared" si="24"/>
        <v>6.2300387071445584E-11</v>
      </c>
      <c r="N58" s="10">
        <f t="shared" si="25"/>
        <v>2451.5109510633461</v>
      </c>
      <c r="O58" s="10">
        <f t="shared" si="26"/>
        <v>13872.084006789522</v>
      </c>
      <c r="P58" s="10">
        <f t="shared" si="30"/>
        <v>36835.543951450032</v>
      </c>
      <c r="Q58" s="10">
        <f t="shared" si="31"/>
        <v>5.3796611609868705E-10</v>
      </c>
    </row>
    <row r="59" spans="1:17">
      <c r="A59">
        <f t="shared" si="27"/>
        <v>43</v>
      </c>
      <c r="B59" s="62">
        <f t="shared" si="28"/>
        <v>47543</v>
      </c>
      <c r="C59" s="10">
        <f t="shared" si="29"/>
        <v>13872.084006789522</v>
      </c>
      <c r="D59" s="10">
        <f t="shared" si="16"/>
        <v>0</v>
      </c>
      <c r="E59" s="10">
        <f t="shared" si="17"/>
        <v>13872.084006789522</v>
      </c>
      <c r="F59" s="10">
        <f t="shared" si="18"/>
        <v>235.82542811542189</v>
      </c>
      <c r="G59" s="10">
        <f t="shared" si="19"/>
        <v>2451.5109510632692</v>
      </c>
      <c r="H59" s="10">
        <f t="shared" si="20"/>
        <v>2215.6855229478474</v>
      </c>
      <c r="I59" s="55"/>
      <c r="J59" s="10">
        <f t="shared" si="21"/>
        <v>0</v>
      </c>
      <c r="K59" s="10">
        <f t="shared" si="22"/>
        <v>7.6852302299812436E-11</v>
      </c>
      <c r="L59" s="10">
        <f t="shared" si="23"/>
        <v>0</v>
      </c>
      <c r="M59" s="10">
        <f t="shared" si="24"/>
        <v>7.6852302299812436E-11</v>
      </c>
      <c r="N59" s="10">
        <f t="shared" si="25"/>
        <v>2451.5109510633461</v>
      </c>
      <c r="O59" s="10">
        <f t="shared" si="26"/>
        <v>11656.398483841598</v>
      </c>
      <c r="P59" s="10">
        <f t="shared" si="30"/>
        <v>37071.369379565454</v>
      </c>
      <c r="Q59" s="10">
        <f t="shared" si="31"/>
        <v>6.1481841839849949E-10</v>
      </c>
    </row>
    <row r="60" spans="1:17">
      <c r="A60">
        <f t="shared" si="27"/>
        <v>44</v>
      </c>
      <c r="B60" s="62">
        <f t="shared" si="28"/>
        <v>47574</v>
      </c>
      <c r="C60" s="10">
        <f t="shared" si="29"/>
        <v>11656.398483841598</v>
      </c>
      <c r="D60" s="10">
        <f t="shared" si="16"/>
        <v>0</v>
      </c>
      <c r="E60" s="10">
        <f t="shared" si="17"/>
        <v>11656.398483841598</v>
      </c>
      <c r="F60" s="10">
        <f t="shared" si="18"/>
        <v>198.15877422530718</v>
      </c>
      <c r="G60" s="10">
        <f t="shared" si="19"/>
        <v>2451.5109510632496</v>
      </c>
      <c r="H60" s="10">
        <f t="shared" si="20"/>
        <v>2253.3521768379424</v>
      </c>
      <c r="I60" s="55"/>
      <c r="J60" s="10">
        <f t="shared" si="21"/>
        <v>0</v>
      </c>
      <c r="K60" s="10">
        <f t="shared" si="22"/>
        <v>9.6406438387930393E-11</v>
      </c>
      <c r="L60" s="10">
        <f t="shared" si="23"/>
        <v>0</v>
      </c>
      <c r="M60" s="10">
        <f t="shared" si="24"/>
        <v>9.6406438387930393E-11</v>
      </c>
      <c r="N60" s="10">
        <f t="shared" si="25"/>
        <v>2451.5109510633461</v>
      </c>
      <c r="O60" s="10">
        <f t="shared" si="26"/>
        <v>9403.0463070035603</v>
      </c>
      <c r="P60" s="10">
        <f t="shared" si="30"/>
        <v>37269.528153790765</v>
      </c>
      <c r="Q60" s="10">
        <f t="shared" si="31"/>
        <v>7.1122485678642988E-10</v>
      </c>
    </row>
    <row r="61" spans="1:17">
      <c r="A61">
        <f t="shared" si="27"/>
        <v>45</v>
      </c>
      <c r="B61" s="62">
        <f t="shared" si="28"/>
        <v>47604</v>
      </c>
      <c r="C61" s="10">
        <f t="shared" si="29"/>
        <v>9403.0463070035603</v>
      </c>
      <c r="D61" s="10">
        <f t="shared" si="16"/>
        <v>0</v>
      </c>
      <c r="E61" s="10">
        <f t="shared" si="17"/>
        <v>9403.0463070035603</v>
      </c>
      <c r="F61" s="10">
        <f t="shared" si="18"/>
        <v>159.85178721906053</v>
      </c>
      <c r="G61" s="10">
        <f t="shared" si="19"/>
        <v>2451.5109510632196</v>
      </c>
      <c r="H61" s="10">
        <f t="shared" si="20"/>
        <v>2291.6591638441591</v>
      </c>
      <c r="I61" s="55"/>
      <c r="J61" s="10">
        <f t="shared" si="21"/>
        <v>0</v>
      </c>
      <c r="K61" s="10">
        <f t="shared" si="22"/>
        <v>1.2641976354643703E-10</v>
      </c>
      <c r="L61" s="10">
        <f t="shared" si="23"/>
        <v>0</v>
      </c>
      <c r="M61" s="10">
        <f t="shared" si="24"/>
        <v>1.2641976354643703E-10</v>
      </c>
      <c r="N61" s="10">
        <f t="shared" si="25"/>
        <v>2451.5109510633461</v>
      </c>
      <c r="O61" s="10">
        <f t="shared" si="26"/>
        <v>7111.3871431592752</v>
      </c>
      <c r="P61" s="10">
        <f t="shared" si="30"/>
        <v>37429.379941009829</v>
      </c>
      <c r="Q61" s="10">
        <f t="shared" si="31"/>
        <v>8.3764462033286691E-10</v>
      </c>
    </row>
    <row r="62" spans="1:17">
      <c r="A62">
        <f t="shared" si="27"/>
        <v>46</v>
      </c>
      <c r="B62" s="62">
        <f t="shared" si="28"/>
        <v>47635</v>
      </c>
      <c r="C62" s="10">
        <f t="shared" si="29"/>
        <v>7111.3871431592752</v>
      </c>
      <c r="D62" s="10">
        <f t="shared" si="16"/>
        <v>0</v>
      </c>
      <c r="E62" s="10">
        <f t="shared" si="17"/>
        <v>7111.3871431592752</v>
      </c>
      <c r="F62" s="10">
        <f t="shared" si="18"/>
        <v>120.89358143370768</v>
      </c>
      <c r="G62" s="10">
        <f t="shared" si="19"/>
        <v>2451.5109510631751</v>
      </c>
      <c r="H62" s="10">
        <f t="shared" si="20"/>
        <v>2330.6173696294672</v>
      </c>
      <c r="I62" s="55"/>
      <c r="J62" s="10">
        <f t="shared" si="21"/>
        <v>0</v>
      </c>
      <c r="K62" s="10">
        <f t="shared" si="22"/>
        <v>1.7098500393331051E-10</v>
      </c>
      <c r="L62" s="10">
        <f t="shared" si="23"/>
        <v>0</v>
      </c>
      <c r="M62" s="10">
        <f t="shared" si="24"/>
        <v>1.7098500393331051E-10</v>
      </c>
      <c r="N62" s="10">
        <f t="shared" si="25"/>
        <v>2451.5109510633461</v>
      </c>
      <c r="O62" s="10">
        <f t="shared" si="26"/>
        <v>4780.769773529637</v>
      </c>
      <c r="P62" s="10">
        <f t="shared" si="30"/>
        <v>37550.273522443538</v>
      </c>
      <c r="Q62" s="10">
        <f t="shared" si="31"/>
        <v>1.0086296242661774E-9</v>
      </c>
    </row>
    <row r="63" spans="1:17">
      <c r="A63">
        <f t="shared" si="27"/>
        <v>47</v>
      </c>
      <c r="B63" s="62">
        <f t="shared" si="28"/>
        <v>47665</v>
      </c>
      <c r="C63" s="10">
        <f t="shared" si="29"/>
        <v>4780.769773529637</v>
      </c>
      <c r="D63" s="10">
        <f t="shared" si="16"/>
        <v>0</v>
      </c>
      <c r="E63" s="10">
        <f t="shared" si="17"/>
        <v>4780.769773529637</v>
      </c>
      <c r="F63" s="10">
        <f t="shared" si="18"/>
        <v>81.273086150003834</v>
      </c>
      <c r="G63" s="10">
        <f t="shared" si="19"/>
        <v>2451.5109510630773</v>
      </c>
      <c r="H63" s="10">
        <f t="shared" si="20"/>
        <v>2370.2378649130733</v>
      </c>
      <c r="I63" s="55"/>
      <c r="J63" s="10">
        <f t="shared" si="21"/>
        <v>0</v>
      </c>
      <c r="K63" s="10">
        <f t="shared" si="22"/>
        <v>2.6875568437390029E-10</v>
      </c>
      <c r="L63" s="10">
        <f t="shared" si="23"/>
        <v>0</v>
      </c>
      <c r="M63" s="10">
        <f t="shared" si="24"/>
        <v>2.6875568437390029E-10</v>
      </c>
      <c r="N63" s="10">
        <f t="shared" si="25"/>
        <v>2451.5109510633461</v>
      </c>
      <c r="O63" s="10">
        <f t="shared" si="26"/>
        <v>2410.5319086162949</v>
      </c>
      <c r="P63" s="10">
        <f t="shared" si="30"/>
        <v>37631.54660859354</v>
      </c>
      <c r="Q63" s="10">
        <f t="shared" si="31"/>
        <v>1.2773853086400777E-9</v>
      </c>
    </row>
    <row r="64" spans="1:17">
      <c r="A64">
        <f t="shared" si="27"/>
        <v>48</v>
      </c>
      <c r="B64" s="62">
        <f t="shared" si="28"/>
        <v>47696</v>
      </c>
      <c r="C64" s="10">
        <f t="shared" si="29"/>
        <v>2410.5319086162949</v>
      </c>
      <c r="D64" s="10">
        <f t="shared" si="16"/>
        <v>0</v>
      </c>
      <c r="E64" s="10">
        <f t="shared" si="17"/>
        <v>2410.5319086162949</v>
      </c>
      <c r="F64" s="10">
        <f t="shared" si="18"/>
        <v>40.979042446477017</v>
      </c>
      <c r="G64" s="10">
        <f t="shared" si="19"/>
        <v>2451.5109510627808</v>
      </c>
      <c r="H64" s="10">
        <f t="shared" si="20"/>
        <v>2410.5319086162949</v>
      </c>
      <c r="I64" s="55"/>
      <c r="J64" s="10">
        <f t="shared" si="21"/>
        <v>0</v>
      </c>
      <c r="K64" s="10">
        <f t="shared" si="22"/>
        <v>5.652509571518749E-10</v>
      </c>
      <c r="L64" s="10">
        <f t="shared" si="23"/>
        <v>0</v>
      </c>
      <c r="M64" s="10">
        <f t="shared" si="24"/>
        <v>0</v>
      </c>
      <c r="N64" s="10">
        <f t="shared" si="25"/>
        <v>2451.5109510627808</v>
      </c>
      <c r="O64" s="10">
        <f t="shared" si="26"/>
        <v>0</v>
      </c>
      <c r="P64" s="10">
        <f t="shared" si="30"/>
        <v>37672.525651040014</v>
      </c>
      <c r="Q64" s="10">
        <f t="shared" si="31"/>
        <v>1.2773853086400777E-9</v>
      </c>
    </row>
    <row r="65" spans="1:17">
      <c r="A65">
        <f t="shared" si="27"/>
        <v>49</v>
      </c>
      <c r="B65" s="62">
        <f t="shared" si="28"/>
        <v>47727</v>
      </c>
      <c r="C65" s="10">
        <f t="shared" si="29"/>
        <v>0</v>
      </c>
      <c r="D65" s="10">
        <f t="shared" si="16"/>
        <v>0</v>
      </c>
      <c r="E65" s="10">
        <f t="shared" si="17"/>
        <v>0</v>
      </c>
      <c r="F65" s="10">
        <f t="shared" si="18"/>
        <v>0</v>
      </c>
      <c r="G65" s="10">
        <f t="shared" si="19"/>
        <v>0</v>
      </c>
      <c r="H65" s="10">
        <f t="shared" si="20"/>
        <v>0</v>
      </c>
      <c r="I65" s="55"/>
      <c r="J65" s="10">
        <f t="shared" si="21"/>
        <v>0</v>
      </c>
      <c r="K65" s="10">
        <f t="shared" si="22"/>
        <v>0</v>
      </c>
      <c r="L65" s="10">
        <f t="shared" si="23"/>
        <v>0</v>
      </c>
      <c r="M65" s="10">
        <f t="shared" si="24"/>
        <v>0</v>
      </c>
      <c r="N65" s="10">
        <f t="shared" si="25"/>
        <v>0</v>
      </c>
      <c r="O65" s="10">
        <f t="shared" si="26"/>
        <v>0</v>
      </c>
      <c r="P65" s="10">
        <f t="shared" si="30"/>
        <v>37672.525651040014</v>
      </c>
      <c r="Q65" s="10">
        <f t="shared" si="31"/>
        <v>1.2773853086400777E-9</v>
      </c>
    </row>
    <row r="66" spans="1:17">
      <c r="A66">
        <f t="shared" si="27"/>
        <v>50</v>
      </c>
      <c r="B66" s="62">
        <f t="shared" si="28"/>
        <v>47757</v>
      </c>
      <c r="C66" s="10">
        <f t="shared" si="29"/>
        <v>0</v>
      </c>
      <c r="D66" s="10">
        <f t="shared" si="16"/>
        <v>0</v>
      </c>
      <c r="E66" s="10">
        <f t="shared" si="17"/>
        <v>0</v>
      </c>
      <c r="F66" s="10">
        <f t="shared" si="18"/>
        <v>0</v>
      </c>
      <c r="G66" s="10">
        <f t="shared" si="19"/>
        <v>0</v>
      </c>
      <c r="H66" s="10">
        <f t="shared" si="20"/>
        <v>0</v>
      </c>
      <c r="I66" s="55"/>
      <c r="J66" s="10">
        <f t="shared" si="21"/>
        <v>0</v>
      </c>
      <c r="K66" s="10">
        <f t="shared" si="22"/>
        <v>0</v>
      </c>
      <c r="L66" s="10">
        <f t="shared" si="23"/>
        <v>0</v>
      </c>
      <c r="M66" s="10">
        <f t="shared" si="24"/>
        <v>0</v>
      </c>
      <c r="N66" s="10">
        <f t="shared" si="25"/>
        <v>0</v>
      </c>
      <c r="O66" s="10">
        <f t="shared" si="26"/>
        <v>0</v>
      </c>
      <c r="P66" s="10">
        <f t="shared" si="30"/>
        <v>37672.525651040014</v>
      </c>
      <c r="Q66" s="10">
        <f t="shared" si="31"/>
        <v>1.2773853086400777E-9</v>
      </c>
    </row>
    <row r="67" spans="1:17">
      <c r="A67">
        <f t="shared" si="27"/>
        <v>51</v>
      </c>
      <c r="B67" s="62">
        <f t="shared" si="28"/>
        <v>47788</v>
      </c>
      <c r="C67" s="10">
        <f t="shared" si="29"/>
        <v>0</v>
      </c>
      <c r="D67" s="10">
        <f t="shared" si="16"/>
        <v>0</v>
      </c>
      <c r="E67" s="10">
        <f t="shared" si="17"/>
        <v>0</v>
      </c>
      <c r="F67" s="10">
        <f t="shared" si="18"/>
        <v>0</v>
      </c>
      <c r="G67" s="10">
        <f t="shared" si="19"/>
        <v>0</v>
      </c>
      <c r="H67" s="10">
        <f t="shared" si="20"/>
        <v>0</v>
      </c>
      <c r="I67" s="55"/>
      <c r="J67" s="10">
        <f t="shared" si="21"/>
        <v>0</v>
      </c>
      <c r="K67" s="10">
        <f t="shared" si="22"/>
        <v>0</v>
      </c>
      <c r="L67" s="10">
        <f t="shared" si="23"/>
        <v>0</v>
      </c>
      <c r="M67" s="10">
        <f t="shared" si="24"/>
        <v>0</v>
      </c>
      <c r="N67" s="10">
        <f t="shared" si="25"/>
        <v>0</v>
      </c>
      <c r="O67" s="10">
        <f t="shared" si="26"/>
        <v>0</v>
      </c>
      <c r="P67" s="10">
        <f t="shared" si="30"/>
        <v>37672.525651040014</v>
      </c>
      <c r="Q67" s="10">
        <f t="shared" si="31"/>
        <v>1.2773853086400777E-9</v>
      </c>
    </row>
    <row r="68" spans="1:17">
      <c r="A68">
        <f t="shared" si="27"/>
        <v>52</v>
      </c>
      <c r="B68" s="62">
        <f t="shared" si="28"/>
        <v>47818</v>
      </c>
      <c r="C68" s="10">
        <f t="shared" si="29"/>
        <v>0</v>
      </c>
      <c r="D68" s="10">
        <f t="shared" si="16"/>
        <v>0</v>
      </c>
      <c r="E68" s="10">
        <f t="shared" si="17"/>
        <v>0</v>
      </c>
      <c r="F68" s="10">
        <f t="shared" si="18"/>
        <v>0</v>
      </c>
      <c r="G68" s="10">
        <f t="shared" si="19"/>
        <v>0</v>
      </c>
      <c r="H68" s="10">
        <f t="shared" si="20"/>
        <v>0</v>
      </c>
      <c r="I68" s="55"/>
      <c r="J68" s="10">
        <f t="shared" si="21"/>
        <v>0</v>
      </c>
      <c r="K68" s="10">
        <f t="shared" si="22"/>
        <v>0</v>
      </c>
      <c r="L68" s="10">
        <f t="shared" si="23"/>
        <v>0</v>
      </c>
      <c r="M68" s="10">
        <f t="shared" si="24"/>
        <v>0</v>
      </c>
      <c r="N68" s="10">
        <f t="shared" si="25"/>
        <v>0</v>
      </c>
      <c r="O68" s="10">
        <f t="shared" si="26"/>
        <v>0</v>
      </c>
      <c r="P68" s="10">
        <f t="shared" si="30"/>
        <v>37672.525651040014</v>
      </c>
      <c r="Q68" s="10">
        <f t="shared" si="31"/>
        <v>1.2773853086400777E-9</v>
      </c>
    </row>
    <row r="69" spans="1:17">
      <c r="A69">
        <f t="shared" si="27"/>
        <v>53</v>
      </c>
      <c r="B69" s="62">
        <f t="shared" si="28"/>
        <v>47849</v>
      </c>
      <c r="C69" s="10">
        <f t="shared" si="29"/>
        <v>0</v>
      </c>
      <c r="D69" s="10">
        <f t="shared" si="16"/>
        <v>0</v>
      </c>
      <c r="E69" s="10">
        <f t="shared" si="17"/>
        <v>0</v>
      </c>
      <c r="F69" s="10">
        <f t="shared" si="18"/>
        <v>0</v>
      </c>
      <c r="G69" s="10">
        <f t="shared" si="19"/>
        <v>0</v>
      </c>
      <c r="H69" s="10">
        <f t="shared" si="20"/>
        <v>0</v>
      </c>
      <c r="I69" s="55"/>
      <c r="J69" s="10">
        <f t="shared" si="21"/>
        <v>0</v>
      </c>
      <c r="K69" s="10">
        <f t="shared" si="22"/>
        <v>0</v>
      </c>
      <c r="L69" s="10">
        <f t="shared" si="23"/>
        <v>0</v>
      </c>
      <c r="M69" s="10">
        <f t="shared" si="24"/>
        <v>0</v>
      </c>
      <c r="N69" s="10">
        <f t="shared" si="25"/>
        <v>0</v>
      </c>
      <c r="O69" s="10">
        <f t="shared" si="26"/>
        <v>0</v>
      </c>
      <c r="P69" s="10">
        <f t="shared" si="30"/>
        <v>37672.525651040014</v>
      </c>
      <c r="Q69" s="10">
        <f t="shared" si="31"/>
        <v>1.2773853086400777E-9</v>
      </c>
    </row>
    <row r="70" spans="1:17">
      <c r="A70">
        <f t="shared" si="27"/>
        <v>54</v>
      </c>
      <c r="B70" s="62">
        <f t="shared" si="28"/>
        <v>47880</v>
      </c>
      <c r="C70" s="10">
        <f t="shared" si="29"/>
        <v>0</v>
      </c>
      <c r="D70" s="10">
        <f t="shared" si="16"/>
        <v>0</v>
      </c>
      <c r="E70" s="10">
        <f t="shared" si="17"/>
        <v>0</v>
      </c>
      <c r="F70" s="10">
        <f t="shared" si="18"/>
        <v>0</v>
      </c>
      <c r="G70" s="10">
        <f t="shared" si="19"/>
        <v>0</v>
      </c>
      <c r="H70" s="10">
        <f t="shared" si="20"/>
        <v>0</v>
      </c>
      <c r="I70" s="55"/>
      <c r="J70" s="10">
        <f t="shared" si="21"/>
        <v>0</v>
      </c>
      <c r="K70" s="10">
        <f t="shared" si="22"/>
        <v>0</v>
      </c>
      <c r="L70" s="10">
        <f t="shared" si="23"/>
        <v>0</v>
      </c>
      <c r="M70" s="10">
        <f t="shared" si="24"/>
        <v>0</v>
      </c>
      <c r="N70" s="10">
        <f t="shared" si="25"/>
        <v>0</v>
      </c>
      <c r="O70" s="10">
        <f t="shared" si="26"/>
        <v>0</v>
      </c>
      <c r="P70" s="10">
        <f t="shared" si="30"/>
        <v>37672.525651040014</v>
      </c>
      <c r="Q70" s="10">
        <f t="shared" si="31"/>
        <v>1.2773853086400777E-9</v>
      </c>
    </row>
    <row r="71" spans="1:17">
      <c r="A71">
        <f t="shared" si="27"/>
        <v>55</v>
      </c>
      <c r="B71" s="62">
        <f t="shared" si="28"/>
        <v>47908</v>
      </c>
      <c r="C71" s="10">
        <f t="shared" si="29"/>
        <v>0</v>
      </c>
      <c r="D71" s="10">
        <f t="shared" si="16"/>
        <v>0</v>
      </c>
      <c r="E71" s="10">
        <f t="shared" si="17"/>
        <v>0</v>
      </c>
      <c r="F71" s="10">
        <f t="shared" si="18"/>
        <v>0</v>
      </c>
      <c r="G71" s="10">
        <f t="shared" si="19"/>
        <v>0</v>
      </c>
      <c r="H71" s="10">
        <f t="shared" si="20"/>
        <v>0</v>
      </c>
      <c r="I71" s="55"/>
      <c r="J71" s="10">
        <f t="shared" si="21"/>
        <v>0</v>
      </c>
      <c r="K71" s="10">
        <f t="shared" si="22"/>
        <v>0</v>
      </c>
      <c r="L71" s="10">
        <f t="shared" si="23"/>
        <v>0</v>
      </c>
      <c r="M71" s="10">
        <f t="shared" si="24"/>
        <v>0</v>
      </c>
      <c r="N71" s="10">
        <f t="shared" si="25"/>
        <v>0</v>
      </c>
      <c r="O71" s="10">
        <f t="shared" si="26"/>
        <v>0</v>
      </c>
      <c r="P71" s="10">
        <f t="shared" si="30"/>
        <v>37672.525651040014</v>
      </c>
      <c r="Q71" s="10">
        <f t="shared" si="31"/>
        <v>1.2773853086400777E-9</v>
      </c>
    </row>
    <row r="72" spans="1:17">
      <c r="A72">
        <f t="shared" si="27"/>
        <v>56</v>
      </c>
      <c r="B72" s="62">
        <f t="shared" si="28"/>
        <v>47939</v>
      </c>
      <c r="C72" s="10">
        <f t="shared" si="29"/>
        <v>0</v>
      </c>
      <c r="D72" s="10">
        <f t="shared" si="16"/>
        <v>0</v>
      </c>
      <c r="E72" s="10">
        <f t="shared" si="17"/>
        <v>0</v>
      </c>
      <c r="F72" s="10">
        <f t="shared" si="18"/>
        <v>0</v>
      </c>
      <c r="G72" s="10">
        <f t="shared" si="19"/>
        <v>0</v>
      </c>
      <c r="H72" s="10">
        <f t="shared" si="20"/>
        <v>0</v>
      </c>
      <c r="I72" s="55"/>
      <c r="J72" s="10">
        <f t="shared" si="21"/>
        <v>0</v>
      </c>
      <c r="K72" s="10">
        <f t="shared" si="22"/>
        <v>0</v>
      </c>
      <c r="L72" s="10">
        <f t="shared" si="23"/>
        <v>0</v>
      </c>
      <c r="M72" s="10">
        <f t="shared" si="24"/>
        <v>0</v>
      </c>
      <c r="N72" s="10">
        <f t="shared" si="25"/>
        <v>0</v>
      </c>
      <c r="O72" s="10">
        <f t="shared" si="26"/>
        <v>0</v>
      </c>
      <c r="P72" s="10">
        <f t="shared" si="30"/>
        <v>37672.525651040014</v>
      </c>
      <c r="Q72" s="10">
        <f t="shared" si="31"/>
        <v>1.2773853086400777E-9</v>
      </c>
    </row>
    <row r="73" spans="1:17">
      <c r="A73">
        <f t="shared" si="27"/>
        <v>57</v>
      </c>
      <c r="B73" s="62">
        <f t="shared" si="28"/>
        <v>47969</v>
      </c>
      <c r="C73" s="10">
        <f t="shared" si="29"/>
        <v>0</v>
      </c>
      <c r="D73" s="10">
        <f t="shared" si="16"/>
        <v>0</v>
      </c>
      <c r="E73" s="10">
        <f t="shared" si="17"/>
        <v>0</v>
      </c>
      <c r="F73" s="10">
        <f t="shared" si="18"/>
        <v>0</v>
      </c>
      <c r="G73" s="10">
        <f t="shared" si="19"/>
        <v>0</v>
      </c>
      <c r="H73" s="10">
        <f t="shared" si="20"/>
        <v>0</v>
      </c>
      <c r="I73" s="55"/>
      <c r="J73" s="10">
        <f t="shared" si="21"/>
        <v>0</v>
      </c>
      <c r="K73" s="10">
        <f t="shared" si="22"/>
        <v>0</v>
      </c>
      <c r="L73" s="10">
        <f t="shared" si="23"/>
        <v>0</v>
      </c>
      <c r="M73" s="10">
        <f t="shared" si="24"/>
        <v>0</v>
      </c>
      <c r="N73" s="10">
        <f t="shared" si="25"/>
        <v>0</v>
      </c>
      <c r="O73" s="10">
        <f t="shared" si="26"/>
        <v>0</v>
      </c>
      <c r="P73" s="10">
        <f t="shared" si="30"/>
        <v>37672.525651040014</v>
      </c>
      <c r="Q73" s="10">
        <f t="shared" si="31"/>
        <v>1.2773853086400777E-9</v>
      </c>
    </row>
    <row r="74" spans="1:17">
      <c r="A74">
        <f t="shared" si="27"/>
        <v>58</v>
      </c>
      <c r="B74" s="62">
        <f t="shared" si="28"/>
        <v>48000</v>
      </c>
      <c r="C74" s="10">
        <f t="shared" si="29"/>
        <v>0</v>
      </c>
      <c r="D74" s="10">
        <f t="shared" si="16"/>
        <v>0</v>
      </c>
      <c r="E74" s="10">
        <f t="shared" si="17"/>
        <v>0</v>
      </c>
      <c r="F74" s="10">
        <f t="shared" si="18"/>
        <v>0</v>
      </c>
      <c r="G74" s="10">
        <f t="shared" si="19"/>
        <v>0</v>
      </c>
      <c r="H74" s="10">
        <f t="shared" si="20"/>
        <v>0</v>
      </c>
      <c r="I74" s="55"/>
      <c r="J74" s="10">
        <f t="shared" si="21"/>
        <v>0</v>
      </c>
      <c r="K74" s="10">
        <f t="shared" si="22"/>
        <v>0</v>
      </c>
      <c r="L74" s="10">
        <f t="shared" si="23"/>
        <v>0</v>
      </c>
      <c r="M74" s="10">
        <f t="shared" si="24"/>
        <v>0</v>
      </c>
      <c r="N74" s="10">
        <f t="shared" si="25"/>
        <v>0</v>
      </c>
      <c r="O74" s="10">
        <f t="shared" si="26"/>
        <v>0</v>
      </c>
      <c r="P74" s="10">
        <f t="shared" si="30"/>
        <v>37672.525651040014</v>
      </c>
      <c r="Q74" s="10">
        <f t="shared" si="31"/>
        <v>1.2773853086400777E-9</v>
      </c>
    </row>
    <row r="75" spans="1:17">
      <c r="A75">
        <f t="shared" si="27"/>
        <v>59</v>
      </c>
      <c r="B75" s="62">
        <f t="shared" si="28"/>
        <v>48030</v>
      </c>
      <c r="C75" s="10">
        <f t="shared" si="29"/>
        <v>0</v>
      </c>
      <c r="D75" s="10">
        <f t="shared" si="16"/>
        <v>0</v>
      </c>
      <c r="E75" s="10">
        <f t="shared" si="17"/>
        <v>0</v>
      </c>
      <c r="F75" s="10">
        <f t="shared" si="18"/>
        <v>0</v>
      </c>
      <c r="G75" s="10">
        <f t="shared" si="19"/>
        <v>0</v>
      </c>
      <c r="H75" s="10">
        <f t="shared" si="20"/>
        <v>0</v>
      </c>
      <c r="I75" s="55"/>
      <c r="J75" s="10">
        <f t="shared" si="21"/>
        <v>0</v>
      </c>
      <c r="K75" s="10">
        <f t="shared" si="22"/>
        <v>0</v>
      </c>
      <c r="L75" s="10">
        <f t="shared" si="23"/>
        <v>0</v>
      </c>
      <c r="M75" s="10">
        <f t="shared" si="24"/>
        <v>0</v>
      </c>
      <c r="N75" s="10">
        <f t="shared" si="25"/>
        <v>0</v>
      </c>
      <c r="O75" s="10">
        <f t="shared" si="26"/>
        <v>0</v>
      </c>
      <c r="P75" s="10">
        <f t="shared" si="30"/>
        <v>37672.525651040014</v>
      </c>
      <c r="Q75" s="10">
        <f t="shared" si="31"/>
        <v>1.2773853086400777E-9</v>
      </c>
    </row>
    <row r="76" spans="1:17">
      <c r="A76">
        <f t="shared" si="27"/>
        <v>60</v>
      </c>
      <c r="B76" s="62">
        <f t="shared" si="28"/>
        <v>48061</v>
      </c>
      <c r="C76" s="10">
        <f t="shared" si="29"/>
        <v>0</v>
      </c>
      <c r="D76" s="10">
        <f t="shared" si="16"/>
        <v>0</v>
      </c>
      <c r="E76" s="10">
        <f t="shared" si="17"/>
        <v>0</v>
      </c>
      <c r="F76" s="10">
        <f t="shared" si="18"/>
        <v>0</v>
      </c>
      <c r="G76" s="10">
        <f t="shared" si="19"/>
        <v>0</v>
      </c>
      <c r="H76" s="10">
        <f t="shared" si="20"/>
        <v>0</v>
      </c>
      <c r="I76" s="55"/>
      <c r="J76" s="10">
        <f t="shared" si="21"/>
        <v>0</v>
      </c>
      <c r="K76" s="10">
        <f t="shared" si="22"/>
        <v>0</v>
      </c>
      <c r="L76" s="10">
        <f t="shared" si="23"/>
        <v>0</v>
      </c>
      <c r="M76" s="10">
        <f t="shared" si="24"/>
        <v>0</v>
      </c>
      <c r="N76" s="10">
        <f t="shared" si="25"/>
        <v>0</v>
      </c>
      <c r="O76" s="10">
        <f t="shared" si="26"/>
        <v>0</v>
      </c>
      <c r="P76" s="10">
        <f t="shared" si="30"/>
        <v>37672.525651040014</v>
      </c>
      <c r="Q76" s="10">
        <f t="shared" si="31"/>
        <v>1.2773853086400777E-9</v>
      </c>
    </row>
    <row r="77" spans="1:17">
      <c r="A77">
        <f t="shared" si="27"/>
        <v>61</v>
      </c>
      <c r="B77" s="62">
        <f t="shared" si="28"/>
        <v>48092</v>
      </c>
      <c r="C77" s="10">
        <f t="shared" si="29"/>
        <v>0</v>
      </c>
      <c r="D77" s="10">
        <f t="shared" si="16"/>
        <v>0</v>
      </c>
      <c r="E77" s="10">
        <f t="shared" si="17"/>
        <v>0</v>
      </c>
      <c r="F77" s="10">
        <f t="shared" si="18"/>
        <v>0</v>
      </c>
      <c r="G77" s="10">
        <f t="shared" si="19"/>
        <v>0</v>
      </c>
      <c r="H77" s="10">
        <f t="shared" si="20"/>
        <v>0</v>
      </c>
      <c r="I77" s="55"/>
      <c r="J77" s="10">
        <f t="shared" si="21"/>
        <v>0</v>
      </c>
      <c r="K77" s="10">
        <f t="shared" si="22"/>
        <v>0</v>
      </c>
      <c r="L77" s="10">
        <f t="shared" si="23"/>
        <v>0</v>
      </c>
      <c r="M77" s="10">
        <f t="shared" si="24"/>
        <v>0</v>
      </c>
      <c r="N77" s="10">
        <f t="shared" si="25"/>
        <v>0</v>
      </c>
      <c r="O77" s="10">
        <f t="shared" si="26"/>
        <v>0</v>
      </c>
      <c r="P77" s="10">
        <f t="shared" si="30"/>
        <v>37672.525651040014</v>
      </c>
      <c r="Q77" s="10">
        <f t="shared" si="31"/>
        <v>1.2773853086400777E-9</v>
      </c>
    </row>
    <row r="78" spans="1:17">
      <c r="A78">
        <f t="shared" si="27"/>
        <v>62</v>
      </c>
      <c r="B78" s="62">
        <f t="shared" si="28"/>
        <v>48122</v>
      </c>
      <c r="C78" s="10">
        <f t="shared" si="29"/>
        <v>0</v>
      </c>
      <c r="D78" s="10">
        <f t="shared" si="16"/>
        <v>0</v>
      </c>
      <c r="E78" s="10">
        <f t="shared" si="17"/>
        <v>0</v>
      </c>
      <c r="F78" s="10">
        <f t="shared" si="18"/>
        <v>0</v>
      </c>
      <c r="G78" s="10">
        <f t="shared" si="19"/>
        <v>0</v>
      </c>
      <c r="H78" s="10">
        <f t="shared" si="20"/>
        <v>0</v>
      </c>
      <c r="I78" s="55"/>
      <c r="J78" s="10">
        <f t="shared" si="21"/>
        <v>0</v>
      </c>
      <c r="K78" s="10">
        <f t="shared" si="22"/>
        <v>0</v>
      </c>
      <c r="L78" s="10">
        <f t="shared" si="23"/>
        <v>0</v>
      </c>
      <c r="M78" s="10">
        <f t="shared" si="24"/>
        <v>0</v>
      </c>
      <c r="N78" s="10">
        <f t="shared" si="25"/>
        <v>0</v>
      </c>
      <c r="O78" s="10">
        <f t="shared" si="26"/>
        <v>0</v>
      </c>
      <c r="P78" s="10">
        <f t="shared" si="30"/>
        <v>37672.525651040014</v>
      </c>
      <c r="Q78" s="10">
        <f t="shared" si="31"/>
        <v>1.2773853086400777E-9</v>
      </c>
    </row>
    <row r="79" spans="1:17">
      <c r="A79">
        <f t="shared" si="27"/>
        <v>63</v>
      </c>
      <c r="B79" s="62">
        <f t="shared" si="28"/>
        <v>48153</v>
      </c>
      <c r="C79" s="10">
        <f t="shared" si="29"/>
        <v>0</v>
      </c>
      <c r="D79" s="10">
        <f t="shared" si="16"/>
        <v>0</v>
      </c>
      <c r="E79" s="10">
        <f t="shared" si="17"/>
        <v>0</v>
      </c>
      <c r="F79" s="10">
        <f t="shared" si="18"/>
        <v>0</v>
      </c>
      <c r="G79" s="10">
        <f t="shared" si="19"/>
        <v>0</v>
      </c>
      <c r="H79" s="10">
        <f t="shared" si="20"/>
        <v>0</v>
      </c>
      <c r="I79" s="55"/>
      <c r="J79" s="10">
        <f t="shared" si="21"/>
        <v>0</v>
      </c>
      <c r="K79" s="10">
        <f t="shared" si="22"/>
        <v>0</v>
      </c>
      <c r="L79" s="10">
        <f t="shared" si="23"/>
        <v>0</v>
      </c>
      <c r="M79" s="10">
        <f t="shared" si="24"/>
        <v>0</v>
      </c>
      <c r="N79" s="10">
        <f t="shared" si="25"/>
        <v>0</v>
      </c>
      <c r="O79" s="10">
        <f t="shared" si="26"/>
        <v>0</v>
      </c>
      <c r="P79" s="10">
        <f t="shared" si="30"/>
        <v>37672.525651040014</v>
      </c>
      <c r="Q79" s="10">
        <f t="shared" si="31"/>
        <v>1.2773853086400777E-9</v>
      </c>
    </row>
    <row r="80" spans="1:17">
      <c r="A80">
        <f t="shared" si="27"/>
        <v>64</v>
      </c>
      <c r="B80" s="62">
        <f t="shared" si="28"/>
        <v>48183</v>
      </c>
      <c r="C80" s="10">
        <f t="shared" si="29"/>
        <v>0</v>
      </c>
      <c r="D80" s="10">
        <f t="shared" si="16"/>
        <v>0</v>
      </c>
      <c r="E80" s="10">
        <f t="shared" si="17"/>
        <v>0</v>
      </c>
      <c r="F80" s="10">
        <f t="shared" si="18"/>
        <v>0</v>
      </c>
      <c r="G80" s="10">
        <f t="shared" si="19"/>
        <v>0</v>
      </c>
      <c r="H80" s="10">
        <f t="shared" si="20"/>
        <v>0</v>
      </c>
      <c r="I80" s="55"/>
      <c r="J80" s="10">
        <f t="shared" si="21"/>
        <v>0</v>
      </c>
      <c r="K80" s="10">
        <f t="shared" si="22"/>
        <v>0</v>
      </c>
      <c r="L80" s="10">
        <f t="shared" si="23"/>
        <v>0</v>
      </c>
      <c r="M80" s="10">
        <f t="shared" si="24"/>
        <v>0</v>
      </c>
      <c r="N80" s="10">
        <f t="shared" si="25"/>
        <v>0</v>
      </c>
      <c r="O80" s="10">
        <f t="shared" si="26"/>
        <v>0</v>
      </c>
      <c r="P80" s="10">
        <f t="shared" si="30"/>
        <v>37672.525651040014</v>
      </c>
      <c r="Q80" s="10">
        <f t="shared" si="31"/>
        <v>1.2773853086400777E-9</v>
      </c>
    </row>
    <row r="81" spans="1:17">
      <c r="A81">
        <f t="shared" si="27"/>
        <v>65</v>
      </c>
      <c r="B81" s="62">
        <f t="shared" si="28"/>
        <v>48214</v>
      </c>
      <c r="C81" s="10">
        <f t="shared" si="29"/>
        <v>0</v>
      </c>
      <c r="D81" s="10">
        <f t="shared" ref="D81:D112" si="32">IF(OR(C81&lt;=0,A81&gt;$C$7),0,C81*$C$9)</f>
        <v>0</v>
      </c>
      <c r="E81" s="10">
        <f t="shared" ref="E81:E112" si="33">MAX(0,C81+D81)</f>
        <v>0</v>
      </c>
      <c r="F81" s="10">
        <f t="shared" ref="F81:F112" si="34">IF(E81&lt;=0,0,E81*$C$6)</f>
        <v>0</v>
      </c>
      <c r="G81" s="10">
        <f t="shared" ref="G81:G112" si="35">IF(E81&lt;=0,0,IF($C$6=0,E81/($C$7-A81+1),E81*$C$6/(1-(1+$C$6)^(-($C$7-A81+1)))))</f>
        <v>0</v>
      </c>
      <c r="H81" s="10">
        <f t="shared" ref="H81:H112" si="36">MAX(0,MIN(E81,G81-F81))</f>
        <v>0</v>
      </c>
      <c r="I81" s="55"/>
      <c r="J81" s="10">
        <f t="shared" ref="J81:J112" si="37">IF(E81&lt;=0,0,IF(ISNUMBER(I81),MAX(0,I81),IF(A81&gt;=$C$11,$C$10,0)))</f>
        <v>0</v>
      </c>
      <c r="K81" s="10">
        <f t="shared" ref="K81:K112" si="38">IF(OR(E81&lt;=0,$C$12&lt;&gt;"Sim",A81&lt;$C$11),0,MAX(0,$F$5-G81))</f>
        <v>0</v>
      </c>
      <c r="L81" s="10">
        <f t="shared" ref="L81:L112" si="39">IF(E81&lt;=0,0,MIN(J81,MAX(0,E81-H81)))</f>
        <v>0</v>
      </c>
      <c r="M81" s="10">
        <f t="shared" ref="M81:M112" si="40">IF(E81&lt;=0,0,MIN(K81,MAX(0,E81-H81-L81)))</f>
        <v>0</v>
      </c>
      <c r="N81" s="10">
        <f t="shared" ref="N81:N112" si="41">IF(E81&lt;=0,0,G81+L81+M81)</f>
        <v>0</v>
      </c>
      <c r="O81" s="10">
        <f t="shared" ref="O81:O112" si="42">MAX(0,E81-H81-L81-M81)</f>
        <v>0</v>
      </c>
      <c r="P81" s="10">
        <f t="shared" si="30"/>
        <v>37672.525651040014</v>
      </c>
      <c r="Q81" s="10">
        <f t="shared" si="31"/>
        <v>1.2773853086400777E-9</v>
      </c>
    </row>
    <row r="82" spans="1:17">
      <c r="A82">
        <f t="shared" ref="A82:A113" si="43">A81+1</f>
        <v>66</v>
      </c>
      <c r="B82" s="62">
        <f t="shared" ref="B82:B113" si="44">DATE(YEAR(B81),MONTH(B81)+1,1)</f>
        <v>48245</v>
      </c>
      <c r="C82" s="10">
        <f t="shared" ref="C82:C113" si="45">O81</f>
        <v>0</v>
      </c>
      <c r="D82" s="10">
        <f t="shared" si="32"/>
        <v>0</v>
      </c>
      <c r="E82" s="10">
        <f t="shared" si="33"/>
        <v>0</v>
      </c>
      <c r="F82" s="10">
        <f t="shared" si="34"/>
        <v>0</v>
      </c>
      <c r="G82" s="10">
        <f t="shared" si="35"/>
        <v>0</v>
      </c>
      <c r="H82" s="10">
        <f t="shared" si="36"/>
        <v>0</v>
      </c>
      <c r="I82" s="55"/>
      <c r="J82" s="10">
        <f t="shared" si="37"/>
        <v>0</v>
      </c>
      <c r="K82" s="10">
        <f t="shared" si="38"/>
        <v>0</v>
      </c>
      <c r="L82" s="10">
        <f t="shared" si="39"/>
        <v>0</v>
      </c>
      <c r="M82" s="10">
        <f t="shared" si="40"/>
        <v>0</v>
      </c>
      <c r="N82" s="10">
        <f t="shared" si="41"/>
        <v>0</v>
      </c>
      <c r="O82" s="10">
        <f t="shared" si="42"/>
        <v>0</v>
      </c>
      <c r="P82" s="10">
        <f t="shared" ref="P82:P113" si="46">P81+F82</f>
        <v>37672.525651040014</v>
      </c>
      <c r="Q82" s="10">
        <f t="shared" ref="Q82:Q113" si="47">Q81+L82+M82</f>
        <v>1.2773853086400777E-9</v>
      </c>
    </row>
    <row r="83" spans="1:17">
      <c r="A83">
        <f t="shared" si="43"/>
        <v>67</v>
      </c>
      <c r="B83" s="62">
        <f t="shared" si="44"/>
        <v>48274</v>
      </c>
      <c r="C83" s="10">
        <f t="shared" si="45"/>
        <v>0</v>
      </c>
      <c r="D83" s="10">
        <f t="shared" si="32"/>
        <v>0</v>
      </c>
      <c r="E83" s="10">
        <f t="shared" si="33"/>
        <v>0</v>
      </c>
      <c r="F83" s="10">
        <f t="shared" si="34"/>
        <v>0</v>
      </c>
      <c r="G83" s="10">
        <f t="shared" si="35"/>
        <v>0</v>
      </c>
      <c r="H83" s="10">
        <f t="shared" si="36"/>
        <v>0</v>
      </c>
      <c r="I83" s="55"/>
      <c r="J83" s="10">
        <f t="shared" si="37"/>
        <v>0</v>
      </c>
      <c r="K83" s="10">
        <f t="shared" si="38"/>
        <v>0</v>
      </c>
      <c r="L83" s="10">
        <f t="shared" si="39"/>
        <v>0</v>
      </c>
      <c r="M83" s="10">
        <f t="shared" si="40"/>
        <v>0</v>
      </c>
      <c r="N83" s="10">
        <f t="shared" si="41"/>
        <v>0</v>
      </c>
      <c r="O83" s="10">
        <f t="shared" si="42"/>
        <v>0</v>
      </c>
      <c r="P83" s="10">
        <f t="shared" si="46"/>
        <v>37672.525651040014</v>
      </c>
      <c r="Q83" s="10">
        <f t="shared" si="47"/>
        <v>1.2773853086400777E-9</v>
      </c>
    </row>
    <row r="84" spans="1:17">
      <c r="A84">
        <f t="shared" si="43"/>
        <v>68</v>
      </c>
      <c r="B84" s="62">
        <f t="shared" si="44"/>
        <v>48305</v>
      </c>
      <c r="C84" s="10">
        <f t="shared" si="45"/>
        <v>0</v>
      </c>
      <c r="D84" s="10">
        <f t="shared" si="32"/>
        <v>0</v>
      </c>
      <c r="E84" s="10">
        <f t="shared" si="33"/>
        <v>0</v>
      </c>
      <c r="F84" s="10">
        <f t="shared" si="34"/>
        <v>0</v>
      </c>
      <c r="G84" s="10">
        <f t="shared" si="35"/>
        <v>0</v>
      </c>
      <c r="H84" s="10">
        <f t="shared" si="36"/>
        <v>0</v>
      </c>
      <c r="I84" s="55"/>
      <c r="J84" s="10">
        <f t="shared" si="37"/>
        <v>0</v>
      </c>
      <c r="K84" s="10">
        <f t="shared" si="38"/>
        <v>0</v>
      </c>
      <c r="L84" s="10">
        <f t="shared" si="39"/>
        <v>0</v>
      </c>
      <c r="M84" s="10">
        <f t="shared" si="40"/>
        <v>0</v>
      </c>
      <c r="N84" s="10">
        <f t="shared" si="41"/>
        <v>0</v>
      </c>
      <c r="O84" s="10">
        <f t="shared" si="42"/>
        <v>0</v>
      </c>
      <c r="P84" s="10">
        <f t="shared" si="46"/>
        <v>37672.525651040014</v>
      </c>
      <c r="Q84" s="10">
        <f t="shared" si="47"/>
        <v>1.2773853086400777E-9</v>
      </c>
    </row>
    <row r="85" spans="1:17">
      <c r="A85">
        <f t="shared" si="43"/>
        <v>69</v>
      </c>
      <c r="B85" s="62">
        <f t="shared" si="44"/>
        <v>48335</v>
      </c>
      <c r="C85" s="10">
        <f t="shared" si="45"/>
        <v>0</v>
      </c>
      <c r="D85" s="10">
        <f t="shared" si="32"/>
        <v>0</v>
      </c>
      <c r="E85" s="10">
        <f t="shared" si="33"/>
        <v>0</v>
      </c>
      <c r="F85" s="10">
        <f t="shared" si="34"/>
        <v>0</v>
      </c>
      <c r="G85" s="10">
        <f t="shared" si="35"/>
        <v>0</v>
      </c>
      <c r="H85" s="10">
        <f t="shared" si="36"/>
        <v>0</v>
      </c>
      <c r="I85" s="55"/>
      <c r="J85" s="10">
        <f t="shared" si="37"/>
        <v>0</v>
      </c>
      <c r="K85" s="10">
        <f t="shared" si="38"/>
        <v>0</v>
      </c>
      <c r="L85" s="10">
        <f t="shared" si="39"/>
        <v>0</v>
      </c>
      <c r="M85" s="10">
        <f t="shared" si="40"/>
        <v>0</v>
      </c>
      <c r="N85" s="10">
        <f t="shared" si="41"/>
        <v>0</v>
      </c>
      <c r="O85" s="10">
        <f t="shared" si="42"/>
        <v>0</v>
      </c>
      <c r="P85" s="10">
        <f t="shared" si="46"/>
        <v>37672.525651040014</v>
      </c>
      <c r="Q85" s="10">
        <f t="shared" si="47"/>
        <v>1.2773853086400777E-9</v>
      </c>
    </row>
    <row r="86" spans="1:17">
      <c r="A86">
        <f t="shared" si="43"/>
        <v>70</v>
      </c>
      <c r="B86" s="62">
        <f t="shared" si="44"/>
        <v>48366</v>
      </c>
      <c r="C86" s="10">
        <f t="shared" si="45"/>
        <v>0</v>
      </c>
      <c r="D86" s="10">
        <f t="shared" si="32"/>
        <v>0</v>
      </c>
      <c r="E86" s="10">
        <f t="shared" si="33"/>
        <v>0</v>
      </c>
      <c r="F86" s="10">
        <f t="shared" si="34"/>
        <v>0</v>
      </c>
      <c r="G86" s="10">
        <f t="shared" si="35"/>
        <v>0</v>
      </c>
      <c r="H86" s="10">
        <f t="shared" si="36"/>
        <v>0</v>
      </c>
      <c r="I86" s="55"/>
      <c r="J86" s="10">
        <f t="shared" si="37"/>
        <v>0</v>
      </c>
      <c r="K86" s="10">
        <f t="shared" si="38"/>
        <v>0</v>
      </c>
      <c r="L86" s="10">
        <f t="shared" si="39"/>
        <v>0</v>
      </c>
      <c r="M86" s="10">
        <f t="shared" si="40"/>
        <v>0</v>
      </c>
      <c r="N86" s="10">
        <f t="shared" si="41"/>
        <v>0</v>
      </c>
      <c r="O86" s="10">
        <f t="shared" si="42"/>
        <v>0</v>
      </c>
      <c r="P86" s="10">
        <f t="shared" si="46"/>
        <v>37672.525651040014</v>
      </c>
      <c r="Q86" s="10">
        <f t="shared" si="47"/>
        <v>1.2773853086400777E-9</v>
      </c>
    </row>
    <row r="87" spans="1:17">
      <c r="A87">
        <f t="shared" si="43"/>
        <v>71</v>
      </c>
      <c r="B87" s="62">
        <f t="shared" si="44"/>
        <v>48396</v>
      </c>
      <c r="C87" s="10">
        <f t="shared" si="45"/>
        <v>0</v>
      </c>
      <c r="D87" s="10">
        <f t="shared" si="32"/>
        <v>0</v>
      </c>
      <c r="E87" s="10">
        <f t="shared" si="33"/>
        <v>0</v>
      </c>
      <c r="F87" s="10">
        <f t="shared" si="34"/>
        <v>0</v>
      </c>
      <c r="G87" s="10">
        <f t="shared" si="35"/>
        <v>0</v>
      </c>
      <c r="H87" s="10">
        <f t="shared" si="36"/>
        <v>0</v>
      </c>
      <c r="I87" s="55"/>
      <c r="J87" s="10">
        <f t="shared" si="37"/>
        <v>0</v>
      </c>
      <c r="K87" s="10">
        <f t="shared" si="38"/>
        <v>0</v>
      </c>
      <c r="L87" s="10">
        <f t="shared" si="39"/>
        <v>0</v>
      </c>
      <c r="M87" s="10">
        <f t="shared" si="40"/>
        <v>0</v>
      </c>
      <c r="N87" s="10">
        <f t="shared" si="41"/>
        <v>0</v>
      </c>
      <c r="O87" s="10">
        <f t="shared" si="42"/>
        <v>0</v>
      </c>
      <c r="P87" s="10">
        <f t="shared" si="46"/>
        <v>37672.525651040014</v>
      </c>
      <c r="Q87" s="10">
        <f t="shared" si="47"/>
        <v>1.2773853086400777E-9</v>
      </c>
    </row>
    <row r="88" spans="1:17">
      <c r="A88">
        <f t="shared" si="43"/>
        <v>72</v>
      </c>
      <c r="B88" s="62">
        <f t="shared" si="44"/>
        <v>48427</v>
      </c>
      <c r="C88" s="10">
        <f t="shared" si="45"/>
        <v>0</v>
      </c>
      <c r="D88" s="10">
        <f t="shared" si="32"/>
        <v>0</v>
      </c>
      <c r="E88" s="10">
        <f t="shared" si="33"/>
        <v>0</v>
      </c>
      <c r="F88" s="10">
        <f t="shared" si="34"/>
        <v>0</v>
      </c>
      <c r="G88" s="10">
        <f t="shared" si="35"/>
        <v>0</v>
      </c>
      <c r="H88" s="10">
        <f t="shared" si="36"/>
        <v>0</v>
      </c>
      <c r="I88" s="55"/>
      <c r="J88" s="10">
        <f t="shared" si="37"/>
        <v>0</v>
      </c>
      <c r="K88" s="10">
        <f t="shared" si="38"/>
        <v>0</v>
      </c>
      <c r="L88" s="10">
        <f t="shared" si="39"/>
        <v>0</v>
      </c>
      <c r="M88" s="10">
        <f t="shared" si="40"/>
        <v>0</v>
      </c>
      <c r="N88" s="10">
        <f t="shared" si="41"/>
        <v>0</v>
      </c>
      <c r="O88" s="10">
        <f t="shared" si="42"/>
        <v>0</v>
      </c>
      <c r="P88" s="10">
        <f t="shared" si="46"/>
        <v>37672.525651040014</v>
      </c>
      <c r="Q88" s="10">
        <f t="shared" si="47"/>
        <v>1.2773853086400777E-9</v>
      </c>
    </row>
    <row r="89" spans="1:17">
      <c r="A89">
        <f t="shared" si="43"/>
        <v>73</v>
      </c>
      <c r="B89" s="62">
        <f t="shared" si="44"/>
        <v>48458</v>
      </c>
      <c r="C89" s="10">
        <f t="shared" si="45"/>
        <v>0</v>
      </c>
      <c r="D89" s="10">
        <f t="shared" si="32"/>
        <v>0</v>
      </c>
      <c r="E89" s="10">
        <f t="shared" si="33"/>
        <v>0</v>
      </c>
      <c r="F89" s="10">
        <f t="shared" si="34"/>
        <v>0</v>
      </c>
      <c r="G89" s="10">
        <f t="shared" si="35"/>
        <v>0</v>
      </c>
      <c r="H89" s="10">
        <f t="shared" si="36"/>
        <v>0</v>
      </c>
      <c r="I89" s="55"/>
      <c r="J89" s="10">
        <f t="shared" si="37"/>
        <v>0</v>
      </c>
      <c r="K89" s="10">
        <f t="shared" si="38"/>
        <v>0</v>
      </c>
      <c r="L89" s="10">
        <f t="shared" si="39"/>
        <v>0</v>
      </c>
      <c r="M89" s="10">
        <f t="shared" si="40"/>
        <v>0</v>
      </c>
      <c r="N89" s="10">
        <f t="shared" si="41"/>
        <v>0</v>
      </c>
      <c r="O89" s="10">
        <f t="shared" si="42"/>
        <v>0</v>
      </c>
      <c r="P89" s="10">
        <f t="shared" si="46"/>
        <v>37672.525651040014</v>
      </c>
      <c r="Q89" s="10">
        <f t="shared" si="47"/>
        <v>1.2773853086400777E-9</v>
      </c>
    </row>
    <row r="90" spans="1:17">
      <c r="A90">
        <f t="shared" si="43"/>
        <v>74</v>
      </c>
      <c r="B90" s="62">
        <f t="shared" si="44"/>
        <v>48488</v>
      </c>
      <c r="C90" s="10">
        <f t="shared" si="45"/>
        <v>0</v>
      </c>
      <c r="D90" s="10">
        <f t="shared" si="32"/>
        <v>0</v>
      </c>
      <c r="E90" s="10">
        <f t="shared" si="33"/>
        <v>0</v>
      </c>
      <c r="F90" s="10">
        <f t="shared" si="34"/>
        <v>0</v>
      </c>
      <c r="G90" s="10">
        <f t="shared" si="35"/>
        <v>0</v>
      </c>
      <c r="H90" s="10">
        <f t="shared" si="36"/>
        <v>0</v>
      </c>
      <c r="I90" s="55"/>
      <c r="J90" s="10">
        <f t="shared" si="37"/>
        <v>0</v>
      </c>
      <c r="K90" s="10">
        <f t="shared" si="38"/>
        <v>0</v>
      </c>
      <c r="L90" s="10">
        <f t="shared" si="39"/>
        <v>0</v>
      </c>
      <c r="M90" s="10">
        <f t="shared" si="40"/>
        <v>0</v>
      </c>
      <c r="N90" s="10">
        <f t="shared" si="41"/>
        <v>0</v>
      </c>
      <c r="O90" s="10">
        <f t="shared" si="42"/>
        <v>0</v>
      </c>
      <c r="P90" s="10">
        <f t="shared" si="46"/>
        <v>37672.525651040014</v>
      </c>
      <c r="Q90" s="10">
        <f t="shared" si="47"/>
        <v>1.2773853086400777E-9</v>
      </c>
    </row>
    <row r="91" spans="1:17">
      <c r="A91">
        <f t="shared" si="43"/>
        <v>75</v>
      </c>
      <c r="B91" s="62">
        <f t="shared" si="44"/>
        <v>48519</v>
      </c>
      <c r="C91" s="10">
        <f t="shared" si="45"/>
        <v>0</v>
      </c>
      <c r="D91" s="10">
        <f t="shared" si="32"/>
        <v>0</v>
      </c>
      <c r="E91" s="10">
        <f t="shared" si="33"/>
        <v>0</v>
      </c>
      <c r="F91" s="10">
        <f t="shared" si="34"/>
        <v>0</v>
      </c>
      <c r="G91" s="10">
        <f t="shared" si="35"/>
        <v>0</v>
      </c>
      <c r="H91" s="10">
        <f t="shared" si="36"/>
        <v>0</v>
      </c>
      <c r="I91" s="55"/>
      <c r="J91" s="10">
        <f t="shared" si="37"/>
        <v>0</v>
      </c>
      <c r="K91" s="10">
        <f t="shared" si="38"/>
        <v>0</v>
      </c>
      <c r="L91" s="10">
        <f t="shared" si="39"/>
        <v>0</v>
      </c>
      <c r="M91" s="10">
        <f t="shared" si="40"/>
        <v>0</v>
      </c>
      <c r="N91" s="10">
        <f t="shared" si="41"/>
        <v>0</v>
      </c>
      <c r="O91" s="10">
        <f t="shared" si="42"/>
        <v>0</v>
      </c>
      <c r="P91" s="10">
        <f t="shared" si="46"/>
        <v>37672.525651040014</v>
      </c>
      <c r="Q91" s="10">
        <f t="shared" si="47"/>
        <v>1.2773853086400777E-9</v>
      </c>
    </row>
    <row r="92" spans="1:17">
      <c r="A92">
        <f t="shared" si="43"/>
        <v>76</v>
      </c>
      <c r="B92" s="62">
        <f t="shared" si="44"/>
        <v>48549</v>
      </c>
      <c r="C92" s="10">
        <f t="shared" si="45"/>
        <v>0</v>
      </c>
      <c r="D92" s="10">
        <f t="shared" si="32"/>
        <v>0</v>
      </c>
      <c r="E92" s="10">
        <f t="shared" si="33"/>
        <v>0</v>
      </c>
      <c r="F92" s="10">
        <f t="shared" si="34"/>
        <v>0</v>
      </c>
      <c r="G92" s="10">
        <f t="shared" si="35"/>
        <v>0</v>
      </c>
      <c r="H92" s="10">
        <f t="shared" si="36"/>
        <v>0</v>
      </c>
      <c r="I92" s="55"/>
      <c r="J92" s="10">
        <f t="shared" si="37"/>
        <v>0</v>
      </c>
      <c r="K92" s="10">
        <f t="shared" si="38"/>
        <v>0</v>
      </c>
      <c r="L92" s="10">
        <f t="shared" si="39"/>
        <v>0</v>
      </c>
      <c r="M92" s="10">
        <f t="shared" si="40"/>
        <v>0</v>
      </c>
      <c r="N92" s="10">
        <f t="shared" si="41"/>
        <v>0</v>
      </c>
      <c r="O92" s="10">
        <f t="shared" si="42"/>
        <v>0</v>
      </c>
      <c r="P92" s="10">
        <f t="shared" si="46"/>
        <v>37672.525651040014</v>
      </c>
      <c r="Q92" s="10">
        <f t="shared" si="47"/>
        <v>1.2773853086400777E-9</v>
      </c>
    </row>
    <row r="93" spans="1:17">
      <c r="A93">
        <f t="shared" si="43"/>
        <v>77</v>
      </c>
      <c r="B93" s="62">
        <f t="shared" si="44"/>
        <v>48580</v>
      </c>
      <c r="C93" s="10">
        <f t="shared" si="45"/>
        <v>0</v>
      </c>
      <c r="D93" s="10">
        <f t="shared" si="32"/>
        <v>0</v>
      </c>
      <c r="E93" s="10">
        <f t="shared" si="33"/>
        <v>0</v>
      </c>
      <c r="F93" s="10">
        <f t="shared" si="34"/>
        <v>0</v>
      </c>
      <c r="G93" s="10">
        <f t="shared" si="35"/>
        <v>0</v>
      </c>
      <c r="H93" s="10">
        <f t="shared" si="36"/>
        <v>0</v>
      </c>
      <c r="I93" s="55"/>
      <c r="J93" s="10">
        <f t="shared" si="37"/>
        <v>0</v>
      </c>
      <c r="K93" s="10">
        <f t="shared" si="38"/>
        <v>0</v>
      </c>
      <c r="L93" s="10">
        <f t="shared" si="39"/>
        <v>0</v>
      </c>
      <c r="M93" s="10">
        <f t="shared" si="40"/>
        <v>0</v>
      </c>
      <c r="N93" s="10">
        <f t="shared" si="41"/>
        <v>0</v>
      </c>
      <c r="O93" s="10">
        <f t="shared" si="42"/>
        <v>0</v>
      </c>
      <c r="P93" s="10">
        <f t="shared" si="46"/>
        <v>37672.525651040014</v>
      </c>
      <c r="Q93" s="10">
        <f t="shared" si="47"/>
        <v>1.2773853086400777E-9</v>
      </c>
    </row>
    <row r="94" spans="1:17">
      <c r="A94">
        <f t="shared" si="43"/>
        <v>78</v>
      </c>
      <c r="B94" s="62">
        <f t="shared" si="44"/>
        <v>48611</v>
      </c>
      <c r="C94" s="10">
        <f t="shared" si="45"/>
        <v>0</v>
      </c>
      <c r="D94" s="10">
        <f t="shared" si="32"/>
        <v>0</v>
      </c>
      <c r="E94" s="10">
        <f t="shared" si="33"/>
        <v>0</v>
      </c>
      <c r="F94" s="10">
        <f t="shared" si="34"/>
        <v>0</v>
      </c>
      <c r="G94" s="10">
        <f t="shared" si="35"/>
        <v>0</v>
      </c>
      <c r="H94" s="10">
        <f t="shared" si="36"/>
        <v>0</v>
      </c>
      <c r="I94" s="55"/>
      <c r="J94" s="10">
        <f t="shared" si="37"/>
        <v>0</v>
      </c>
      <c r="K94" s="10">
        <f t="shared" si="38"/>
        <v>0</v>
      </c>
      <c r="L94" s="10">
        <f t="shared" si="39"/>
        <v>0</v>
      </c>
      <c r="M94" s="10">
        <f t="shared" si="40"/>
        <v>0</v>
      </c>
      <c r="N94" s="10">
        <f t="shared" si="41"/>
        <v>0</v>
      </c>
      <c r="O94" s="10">
        <f t="shared" si="42"/>
        <v>0</v>
      </c>
      <c r="P94" s="10">
        <f t="shared" si="46"/>
        <v>37672.525651040014</v>
      </c>
      <c r="Q94" s="10">
        <f t="shared" si="47"/>
        <v>1.2773853086400777E-9</v>
      </c>
    </row>
    <row r="95" spans="1:17">
      <c r="A95">
        <f t="shared" si="43"/>
        <v>79</v>
      </c>
      <c r="B95" s="62">
        <f t="shared" si="44"/>
        <v>48639</v>
      </c>
      <c r="C95" s="10">
        <f t="shared" si="45"/>
        <v>0</v>
      </c>
      <c r="D95" s="10">
        <f t="shared" si="32"/>
        <v>0</v>
      </c>
      <c r="E95" s="10">
        <f t="shared" si="33"/>
        <v>0</v>
      </c>
      <c r="F95" s="10">
        <f t="shared" si="34"/>
        <v>0</v>
      </c>
      <c r="G95" s="10">
        <f t="shared" si="35"/>
        <v>0</v>
      </c>
      <c r="H95" s="10">
        <f t="shared" si="36"/>
        <v>0</v>
      </c>
      <c r="I95" s="55"/>
      <c r="J95" s="10">
        <f t="shared" si="37"/>
        <v>0</v>
      </c>
      <c r="K95" s="10">
        <f t="shared" si="38"/>
        <v>0</v>
      </c>
      <c r="L95" s="10">
        <f t="shared" si="39"/>
        <v>0</v>
      </c>
      <c r="M95" s="10">
        <f t="shared" si="40"/>
        <v>0</v>
      </c>
      <c r="N95" s="10">
        <f t="shared" si="41"/>
        <v>0</v>
      </c>
      <c r="O95" s="10">
        <f t="shared" si="42"/>
        <v>0</v>
      </c>
      <c r="P95" s="10">
        <f t="shared" si="46"/>
        <v>37672.525651040014</v>
      </c>
      <c r="Q95" s="10">
        <f t="shared" si="47"/>
        <v>1.2773853086400777E-9</v>
      </c>
    </row>
    <row r="96" spans="1:17">
      <c r="A96">
        <f t="shared" si="43"/>
        <v>80</v>
      </c>
      <c r="B96" s="62">
        <f t="shared" si="44"/>
        <v>48670</v>
      </c>
      <c r="C96" s="10">
        <f t="shared" si="45"/>
        <v>0</v>
      </c>
      <c r="D96" s="10">
        <f t="shared" si="32"/>
        <v>0</v>
      </c>
      <c r="E96" s="10">
        <f t="shared" si="33"/>
        <v>0</v>
      </c>
      <c r="F96" s="10">
        <f t="shared" si="34"/>
        <v>0</v>
      </c>
      <c r="G96" s="10">
        <f t="shared" si="35"/>
        <v>0</v>
      </c>
      <c r="H96" s="10">
        <f t="shared" si="36"/>
        <v>0</v>
      </c>
      <c r="I96" s="55"/>
      <c r="J96" s="10">
        <f t="shared" si="37"/>
        <v>0</v>
      </c>
      <c r="K96" s="10">
        <f t="shared" si="38"/>
        <v>0</v>
      </c>
      <c r="L96" s="10">
        <f t="shared" si="39"/>
        <v>0</v>
      </c>
      <c r="M96" s="10">
        <f t="shared" si="40"/>
        <v>0</v>
      </c>
      <c r="N96" s="10">
        <f t="shared" si="41"/>
        <v>0</v>
      </c>
      <c r="O96" s="10">
        <f t="shared" si="42"/>
        <v>0</v>
      </c>
      <c r="P96" s="10">
        <f t="shared" si="46"/>
        <v>37672.525651040014</v>
      </c>
      <c r="Q96" s="10">
        <f t="shared" si="47"/>
        <v>1.2773853086400777E-9</v>
      </c>
    </row>
    <row r="97" spans="1:17">
      <c r="A97">
        <f t="shared" si="43"/>
        <v>81</v>
      </c>
      <c r="B97" s="62">
        <f t="shared" si="44"/>
        <v>48700</v>
      </c>
      <c r="C97" s="10">
        <f t="shared" si="45"/>
        <v>0</v>
      </c>
      <c r="D97" s="10">
        <f t="shared" si="32"/>
        <v>0</v>
      </c>
      <c r="E97" s="10">
        <f t="shared" si="33"/>
        <v>0</v>
      </c>
      <c r="F97" s="10">
        <f t="shared" si="34"/>
        <v>0</v>
      </c>
      <c r="G97" s="10">
        <f t="shared" si="35"/>
        <v>0</v>
      </c>
      <c r="H97" s="10">
        <f t="shared" si="36"/>
        <v>0</v>
      </c>
      <c r="I97" s="55"/>
      <c r="J97" s="10">
        <f t="shared" si="37"/>
        <v>0</v>
      </c>
      <c r="K97" s="10">
        <f t="shared" si="38"/>
        <v>0</v>
      </c>
      <c r="L97" s="10">
        <f t="shared" si="39"/>
        <v>0</v>
      </c>
      <c r="M97" s="10">
        <f t="shared" si="40"/>
        <v>0</v>
      </c>
      <c r="N97" s="10">
        <f t="shared" si="41"/>
        <v>0</v>
      </c>
      <c r="O97" s="10">
        <f t="shared" si="42"/>
        <v>0</v>
      </c>
      <c r="P97" s="10">
        <f t="shared" si="46"/>
        <v>37672.525651040014</v>
      </c>
      <c r="Q97" s="10">
        <f t="shared" si="47"/>
        <v>1.2773853086400777E-9</v>
      </c>
    </row>
    <row r="98" spans="1:17">
      <c r="A98">
        <f t="shared" si="43"/>
        <v>82</v>
      </c>
      <c r="B98" s="62">
        <f t="shared" si="44"/>
        <v>48731</v>
      </c>
      <c r="C98" s="10">
        <f t="shared" si="45"/>
        <v>0</v>
      </c>
      <c r="D98" s="10">
        <f t="shared" si="32"/>
        <v>0</v>
      </c>
      <c r="E98" s="10">
        <f t="shared" si="33"/>
        <v>0</v>
      </c>
      <c r="F98" s="10">
        <f t="shared" si="34"/>
        <v>0</v>
      </c>
      <c r="G98" s="10">
        <f t="shared" si="35"/>
        <v>0</v>
      </c>
      <c r="H98" s="10">
        <f t="shared" si="36"/>
        <v>0</v>
      </c>
      <c r="I98" s="55"/>
      <c r="J98" s="10">
        <f t="shared" si="37"/>
        <v>0</v>
      </c>
      <c r="K98" s="10">
        <f t="shared" si="38"/>
        <v>0</v>
      </c>
      <c r="L98" s="10">
        <f t="shared" si="39"/>
        <v>0</v>
      </c>
      <c r="M98" s="10">
        <f t="shared" si="40"/>
        <v>0</v>
      </c>
      <c r="N98" s="10">
        <f t="shared" si="41"/>
        <v>0</v>
      </c>
      <c r="O98" s="10">
        <f t="shared" si="42"/>
        <v>0</v>
      </c>
      <c r="P98" s="10">
        <f t="shared" si="46"/>
        <v>37672.525651040014</v>
      </c>
      <c r="Q98" s="10">
        <f t="shared" si="47"/>
        <v>1.2773853086400777E-9</v>
      </c>
    </row>
    <row r="99" spans="1:17">
      <c r="A99">
        <f t="shared" si="43"/>
        <v>83</v>
      </c>
      <c r="B99" s="62">
        <f t="shared" si="44"/>
        <v>48761</v>
      </c>
      <c r="C99" s="10">
        <f t="shared" si="45"/>
        <v>0</v>
      </c>
      <c r="D99" s="10">
        <f t="shared" si="32"/>
        <v>0</v>
      </c>
      <c r="E99" s="10">
        <f t="shared" si="33"/>
        <v>0</v>
      </c>
      <c r="F99" s="10">
        <f t="shared" si="34"/>
        <v>0</v>
      </c>
      <c r="G99" s="10">
        <f t="shared" si="35"/>
        <v>0</v>
      </c>
      <c r="H99" s="10">
        <f t="shared" si="36"/>
        <v>0</v>
      </c>
      <c r="I99" s="55"/>
      <c r="J99" s="10">
        <f t="shared" si="37"/>
        <v>0</v>
      </c>
      <c r="K99" s="10">
        <f t="shared" si="38"/>
        <v>0</v>
      </c>
      <c r="L99" s="10">
        <f t="shared" si="39"/>
        <v>0</v>
      </c>
      <c r="M99" s="10">
        <f t="shared" si="40"/>
        <v>0</v>
      </c>
      <c r="N99" s="10">
        <f t="shared" si="41"/>
        <v>0</v>
      </c>
      <c r="O99" s="10">
        <f t="shared" si="42"/>
        <v>0</v>
      </c>
      <c r="P99" s="10">
        <f t="shared" si="46"/>
        <v>37672.525651040014</v>
      </c>
      <c r="Q99" s="10">
        <f t="shared" si="47"/>
        <v>1.2773853086400777E-9</v>
      </c>
    </row>
    <row r="100" spans="1:17">
      <c r="A100">
        <f t="shared" si="43"/>
        <v>84</v>
      </c>
      <c r="B100" s="62">
        <f t="shared" si="44"/>
        <v>48792</v>
      </c>
      <c r="C100" s="10">
        <f t="shared" si="45"/>
        <v>0</v>
      </c>
      <c r="D100" s="10">
        <f t="shared" si="32"/>
        <v>0</v>
      </c>
      <c r="E100" s="10">
        <f t="shared" si="33"/>
        <v>0</v>
      </c>
      <c r="F100" s="10">
        <f t="shared" si="34"/>
        <v>0</v>
      </c>
      <c r="G100" s="10">
        <f t="shared" si="35"/>
        <v>0</v>
      </c>
      <c r="H100" s="10">
        <f t="shared" si="36"/>
        <v>0</v>
      </c>
      <c r="I100" s="55"/>
      <c r="J100" s="10">
        <f t="shared" si="37"/>
        <v>0</v>
      </c>
      <c r="K100" s="10">
        <f t="shared" si="38"/>
        <v>0</v>
      </c>
      <c r="L100" s="10">
        <f t="shared" si="39"/>
        <v>0</v>
      </c>
      <c r="M100" s="10">
        <f t="shared" si="40"/>
        <v>0</v>
      </c>
      <c r="N100" s="10">
        <f t="shared" si="41"/>
        <v>0</v>
      </c>
      <c r="O100" s="10">
        <f t="shared" si="42"/>
        <v>0</v>
      </c>
      <c r="P100" s="10">
        <f t="shared" si="46"/>
        <v>37672.525651040014</v>
      </c>
      <c r="Q100" s="10">
        <f t="shared" si="47"/>
        <v>1.2773853086400777E-9</v>
      </c>
    </row>
    <row r="101" spans="1:17">
      <c r="A101">
        <f t="shared" si="43"/>
        <v>85</v>
      </c>
      <c r="B101" s="62">
        <f t="shared" si="44"/>
        <v>48823</v>
      </c>
      <c r="C101" s="10">
        <f t="shared" si="45"/>
        <v>0</v>
      </c>
      <c r="D101" s="10">
        <f t="shared" si="32"/>
        <v>0</v>
      </c>
      <c r="E101" s="10">
        <f t="shared" si="33"/>
        <v>0</v>
      </c>
      <c r="F101" s="10">
        <f t="shared" si="34"/>
        <v>0</v>
      </c>
      <c r="G101" s="10">
        <f t="shared" si="35"/>
        <v>0</v>
      </c>
      <c r="H101" s="10">
        <f t="shared" si="36"/>
        <v>0</v>
      </c>
      <c r="I101" s="55"/>
      <c r="J101" s="10">
        <f t="shared" si="37"/>
        <v>0</v>
      </c>
      <c r="K101" s="10">
        <f t="shared" si="38"/>
        <v>0</v>
      </c>
      <c r="L101" s="10">
        <f t="shared" si="39"/>
        <v>0</v>
      </c>
      <c r="M101" s="10">
        <f t="shared" si="40"/>
        <v>0</v>
      </c>
      <c r="N101" s="10">
        <f t="shared" si="41"/>
        <v>0</v>
      </c>
      <c r="O101" s="10">
        <f t="shared" si="42"/>
        <v>0</v>
      </c>
      <c r="P101" s="10">
        <f t="shared" si="46"/>
        <v>37672.525651040014</v>
      </c>
      <c r="Q101" s="10">
        <f t="shared" si="47"/>
        <v>1.2773853086400777E-9</v>
      </c>
    </row>
    <row r="102" spans="1:17">
      <c r="A102">
        <f t="shared" si="43"/>
        <v>86</v>
      </c>
      <c r="B102" s="62">
        <f t="shared" si="44"/>
        <v>48853</v>
      </c>
      <c r="C102" s="10">
        <f t="shared" si="45"/>
        <v>0</v>
      </c>
      <c r="D102" s="10">
        <f t="shared" si="32"/>
        <v>0</v>
      </c>
      <c r="E102" s="10">
        <f t="shared" si="33"/>
        <v>0</v>
      </c>
      <c r="F102" s="10">
        <f t="shared" si="34"/>
        <v>0</v>
      </c>
      <c r="G102" s="10">
        <f t="shared" si="35"/>
        <v>0</v>
      </c>
      <c r="H102" s="10">
        <f t="shared" si="36"/>
        <v>0</v>
      </c>
      <c r="I102" s="55"/>
      <c r="J102" s="10">
        <f t="shared" si="37"/>
        <v>0</v>
      </c>
      <c r="K102" s="10">
        <f t="shared" si="38"/>
        <v>0</v>
      </c>
      <c r="L102" s="10">
        <f t="shared" si="39"/>
        <v>0</v>
      </c>
      <c r="M102" s="10">
        <f t="shared" si="40"/>
        <v>0</v>
      </c>
      <c r="N102" s="10">
        <f t="shared" si="41"/>
        <v>0</v>
      </c>
      <c r="O102" s="10">
        <f t="shared" si="42"/>
        <v>0</v>
      </c>
      <c r="P102" s="10">
        <f t="shared" si="46"/>
        <v>37672.525651040014</v>
      </c>
      <c r="Q102" s="10">
        <f t="shared" si="47"/>
        <v>1.2773853086400777E-9</v>
      </c>
    </row>
    <row r="103" spans="1:17">
      <c r="A103">
        <f t="shared" si="43"/>
        <v>87</v>
      </c>
      <c r="B103" s="62">
        <f t="shared" si="44"/>
        <v>48884</v>
      </c>
      <c r="C103" s="10">
        <f t="shared" si="45"/>
        <v>0</v>
      </c>
      <c r="D103" s="10">
        <f t="shared" si="32"/>
        <v>0</v>
      </c>
      <c r="E103" s="10">
        <f t="shared" si="33"/>
        <v>0</v>
      </c>
      <c r="F103" s="10">
        <f t="shared" si="34"/>
        <v>0</v>
      </c>
      <c r="G103" s="10">
        <f t="shared" si="35"/>
        <v>0</v>
      </c>
      <c r="H103" s="10">
        <f t="shared" si="36"/>
        <v>0</v>
      </c>
      <c r="I103" s="55"/>
      <c r="J103" s="10">
        <f t="shared" si="37"/>
        <v>0</v>
      </c>
      <c r="K103" s="10">
        <f t="shared" si="38"/>
        <v>0</v>
      </c>
      <c r="L103" s="10">
        <f t="shared" si="39"/>
        <v>0</v>
      </c>
      <c r="M103" s="10">
        <f t="shared" si="40"/>
        <v>0</v>
      </c>
      <c r="N103" s="10">
        <f t="shared" si="41"/>
        <v>0</v>
      </c>
      <c r="O103" s="10">
        <f t="shared" si="42"/>
        <v>0</v>
      </c>
      <c r="P103" s="10">
        <f t="shared" si="46"/>
        <v>37672.525651040014</v>
      </c>
      <c r="Q103" s="10">
        <f t="shared" si="47"/>
        <v>1.2773853086400777E-9</v>
      </c>
    </row>
    <row r="104" spans="1:17">
      <c r="A104">
        <f t="shared" si="43"/>
        <v>88</v>
      </c>
      <c r="B104" s="62">
        <f t="shared" si="44"/>
        <v>48914</v>
      </c>
      <c r="C104" s="10">
        <f t="shared" si="45"/>
        <v>0</v>
      </c>
      <c r="D104" s="10">
        <f t="shared" si="32"/>
        <v>0</v>
      </c>
      <c r="E104" s="10">
        <f t="shared" si="33"/>
        <v>0</v>
      </c>
      <c r="F104" s="10">
        <f t="shared" si="34"/>
        <v>0</v>
      </c>
      <c r="G104" s="10">
        <f t="shared" si="35"/>
        <v>0</v>
      </c>
      <c r="H104" s="10">
        <f t="shared" si="36"/>
        <v>0</v>
      </c>
      <c r="I104" s="55"/>
      <c r="J104" s="10">
        <f t="shared" si="37"/>
        <v>0</v>
      </c>
      <c r="K104" s="10">
        <f t="shared" si="38"/>
        <v>0</v>
      </c>
      <c r="L104" s="10">
        <f t="shared" si="39"/>
        <v>0</v>
      </c>
      <c r="M104" s="10">
        <f t="shared" si="40"/>
        <v>0</v>
      </c>
      <c r="N104" s="10">
        <f t="shared" si="41"/>
        <v>0</v>
      </c>
      <c r="O104" s="10">
        <f t="shared" si="42"/>
        <v>0</v>
      </c>
      <c r="P104" s="10">
        <f t="shared" si="46"/>
        <v>37672.525651040014</v>
      </c>
      <c r="Q104" s="10">
        <f t="shared" si="47"/>
        <v>1.2773853086400777E-9</v>
      </c>
    </row>
    <row r="105" spans="1:17">
      <c r="A105">
        <f t="shared" si="43"/>
        <v>89</v>
      </c>
      <c r="B105" s="62">
        <f t="shared" si="44"/>
        <v>48945</v>
      </c>
      <c r="C105" s="10">
        <f t="shared" si="45"/>
        <v>0</v>
      </c>
      <c r="D105" s="10">
        <f t="shared" si="32"/>
        <v>0</v>
      </c>
      <c r="E105" s="10">
        <f t="shared" si="33"/>
        <v>0</v>
      </c>
      <c r="F105" s="10">
        <f t="shared" si="34"/>
        <v>0</v>
      </c>
      <c r="G105" s="10">
        <f t="shared" si="35"/>
        <v>0</v>
      </c>
      <c r="H105" s="10">
        <f t="shared" si="36"/>
        <v>0</v>
      </c>
      <c r="I105" s="55"/>
      <c r="J105" s="10">
        <f t="shared" si="37"/>
        <v>0</v>
      </c>
      <c r="K105" s="10">
        <f t="shared" si="38"/>
        <v>0</v>
      </c>
      <c r="L105" s="10">
        <f t="shared" si="39"/>
        <v>0</v>
      </c>
      <c r="M105" s="10">
        <f t="shared" si="40"/>
        <v>0</v>
      </c>
      <c r="N105" s="10">
        <f t="shared" si="41"/>
        <v>0</v>
      </c>
      <c r="O105" s="10">
        <f t="shared" si="42"/>
        <v>0</v>
      </c>
      <c r="P105" s="10">
        <f t="shared" si="46"/>
        <v>37672.525651040014</v>
      </c>
      <c r="Q105" s="10">
        <f t="shared" si="47"/>
        <v>1.2773853086400777E-9</v>
      </c>
    </row>
    <row r="106" spans="1:17">
      <c r="A106">
        <f t="shared" si="43"/>
        <v>90</v>
      </c>
      <c r="B106" s="62">
        <f t="shared" si="44"/>
        <v>48976</v>
      </c>
      <c r="C106" s="10">
        <f t="shared" si="45"/>
        <v>0</v>
      </c>
      <c r="D106" s="10">
        <f t="shared" si="32"/>
        <v>0</v>
      </c>
      <c r="E106" s="10">
        <f t="shared" si="33"/>
        <v>0</v>
      </c>
      <c r="F106" s="10">
        <f t="shared" si="34"/>
        <v>0</v>
      </c>
      <c r="G106" s="10">
        <f t="shared" si="35"/>
        <v>0</v>
      </c>
      <c r="H106" s="10">
        <f t="shared" si="36"/>
        <v>0</v>
      </c>
      <c r="I106" s="55"/>
      <c r="J106" s="10">
        <f t="shared" si="37"/>
        <v>0</v>
      </c>
      <c r="K106" s="10">
        <f t="shared" si="38"/>
        <v>0</v>
      </c>
      <c r="L106" s="10">
        <f t="shared" si="39"/>
        <v>0</v>
      </c>
      <c r="M106" s="10">
        <f t="shared" si="40"/>
        <v>0</v>
      </c>
      <c r="N106" s="10">
        <f t="shared" si="41"/>
        <v>0</v>
      </c>
      <c r="O106" s="10">
        <f t="shared" si="42"/>
        <v>0</v>
      </c>
      <c r="P106" s="10">
        <f t="shared" si="46"/>
        <v>37672.525651040014</v>
      </c>
      <c r="Q106" s="10">
        <f t="shared" si="47"/>
        <v>1.2773853086400777E-9</v>
      </c>
    </row>
    <row r="107" spans="1:17">
      <c r="A107">
        <f t="shared" si="43"/>
        <v>91</v>
      </c>
      <c r="B107" s="62">
        <f t="shared" si="44"/>
        <v>49004</v>
      </c>
      <c r="C107" s="10">
        <f t="shared" si="45"/>
        <v>0</v>
      </c>
      <c r="D107" s="10">
        <f t="shared" si="32"/>
        <v>0</v>
      </c>
      <c r="E107" s="10">
        <f t="shared" si="33"/>
        <v>0</v>
      </c>
      <c r="F107" s="10">
        <f t="shared" si="34"/>
        <v>0</v>
      </c>
      <c r="G107" s="10">
        <f t="shared" si="35"/>
        <v>0</v>
      </c>
      <c r="H107" s="10">
        <f t="shared" si="36"/>
        <v>0</v>
      </c>
      <c r="I107" s="55"/>
      <c r="J107" s="10">
        <f t="shared" si="37"/>
        <v>0</v>
      </c>
      <c r="K107" s="10">
        <f t="shared" si="38"/>
        <v>0</v>
      </c>
      <c r="L107" s="10">
        <f t="shared" si="39"/>
        <v>0</v>
      </c>
      <c r="M107" s="10">
        <f t="shared" si="40"/>
        <v>0</v>
      </c>
      <c r="N107" s="10">
        <f t="shared" si="41"/>
        <v>0</v>
      </c>
      <c r="O107" s="10">
        <f t="shared" si="42"/>
        <v>0</v>
      </c>
      <c r="P107" s="10">
        <f t="shared" si="46"/>
        <v>37672.525651040014</v>
      </c>
      <c r="Q107" s="10">
        <f t="shared" si="47"/>
        <v>1.2773853086400777E-9</v>
      </c>
    </row>
    <row r="108" spans="1:17">
      <c r="A108">
        <f t="shared" si="43"/>
        <v>92</v>
      </c>
      <c r="B108" s="62">
        <f t="shared" si="44"/>
        <v>49035</v>
      </c>
      <c r="C108" s="10">
        <f t="shared" si="45"/>
        <v>0</v>
      </c>
      <c r="D108" s="10">
        <f t="shared" si="32"/>
        <v>0</v>
      </c>
      <c r="E108" s="10">
        <f t="shared" si="33"/>
        <v>0</v>
      </c>
      <c r="F108" s="10">
        <f t="shared" si="34"/>
        <v>0</v>
      </c>
      <c r="G108" s="10">
        <f t="shared" si="35"/>
        <v>0</v>
      </c>
      <c r="H108" s="10">
        <f t="shared" si="36"/>
        <v>0</v>
      </c>
      <c r="I108" s="55"/>
      <c r="J108" s="10">
        <f t="shared" si="37"/>
        <v>0</v>
      </c>
      <c r="K108" s="10">
        <f t="shared" si="38"/>
        <v>0</v>
      </c>
      <c r="L108" s="10">
        <f t="shared" si="39"/>
        <v>0</v>
      </c>
      <c r="M108" s="10">
        <f t="shared" si="40"/>
        <v>0</v>
      </c>
      <c r="N108" s="10">
        <f t="shared" si="41"/>
        <v>0</v>
      </c>
      <c r="O108" s="10">
        <f t="shared" si="42"/>
        <v>0</v>
      </c>
      <c r="P108" s="10">
        <f t="shared" si="46"/>
        <v>37672.525651040014</v>
      </c>
      <c r="Q108" s="10">
        <f t="shared" si="47"/>
        <v>1.2773853086400777E-9</v>
      </c>
    </row>
    <row r="109" spans="1:17">
      <c r="A109">
        <f t="shared" si="43"/>
        <v>93</v>
      </c>
      <c r="B109" s="62">
        <f t="shared" si="44"/>
        <v>49065</v>
      </c>
      <c r="C109" s="10">
        <f t="shared" si="45"/>
        <v>0</v>
      </c>
      <c r="D109" s="10">
        <f t="shared" si="32"/>
        <v>0</v>
      </c>
      <c r="E109" s="10">
        <f t="shared" si="33"/>
        <v>0</v>
      </c>
      <c r="F109" s="10">
        <f t="shared" si="34"/>
        <v>0</v>
      </c>
      <c r="G109" s="10">
        <f t="shared" si="35"/>
        <v>0</v>
      </c>
      <c r="H109" s="10">
        <f t="shared" si="36"/>
        <v>0</v>
      </c>
      <c r="I109" s="55"/>
      <c r="J109" s="10">
        <f t="shared" si="37"/>
        <v>0</v>
      </c>
      <c r="K109" s="10">
        <f t="shared" si="38"/>
        <v>0</v>
      </c>
      <c r="L109" s="10">
        <f t="shared" si="39"/>
        <v>0</v>
      </c>
      <c r="M109" s="10">
        <f t="shared" si="40"/>
        <v>0</v>
      </c>
      <c r="N109" s="10">
        <f t="shared" si="41"/>
        <v>0</v>
      </c>
      <c r="O109" s="10">
        <f t="shared" si="42"/>
        <v>0</v>
      </c>
      <c r="P109" s="10">
        <f t="shared" si="46"/>
        <v>37672.525651040014</v>
      </c>
      <c r="Q109" s="10">
        <f t="shared" si="47"/>
        <v>1.2773853086400777E-9</v>
      </c>
    </row>
    <row r="110" spans="1:17">
      <c r="A110">
        <f t="shared" si="43"/>
        <v>94</v>
      </c>
      <c r="B110" s="62">
        <f t="shared" si="44"/>
        <v>49096</v>
      </c>
      <c r="C110" s="10">
        <f t="shared" si="45"/>
        <v>0</v>
      </c>
      <c r="D110" s="10">
        <f t="shared" si="32"/>
        <v>0</v>
      </c>
      <c r="E110" s="10">
        <f t="shared" si="33"/>
        <v>0</v>
      </c>
      <c r="F110" s="10">
        <f t="shared" si="34"/>
        <v>0</v>
      </c>
      <c r="G110" s="10">
        <f t="shared" si="35"/>
        <v>0</v>
      </c>
      <c r="H110" s="10">
        <f t="shared" si="36"/>
        <v>0</v>
      </c>
      <c r="I110" s="55"/>
      <c r="J110" s="10">
        <f t="shared" si="37"/>
        <v>0</v>
      </c>
      <c r="K110" s="10">
        <f t="shared" si="38"/>
        <v>0</v>
      </c>
      <c r="L110" s="10">
        <f t="shared" si="39"/>
        <v>0</v>
      </c>
      <c r="M110" s="10">
        <f t="shared" si="40"/>
        <v>0</v>
      </c>
      <c r="N110" s="10">
        <f t="shared" si="41"/>
        <v>0</v>
      </c>
      <c r="O110" s="10">
        <f t="shared" si="42"/>
        <v>0</v>
      </c>
      <c r="P110" s="10">
        <f t="shared" si="46"/>
        <v>37672.525651040014</v>
      </c>
      <c r="Q110" s="10">
        <f t="shared" si="47"/>
        <v>1.2773853086400777E-9</v>
      </c>
    </row>
    <row r="111" spans="1:17">
      <c r="A111">
        <f t="shared" si="43"/>
        <v>95</v>
      </c>
      <c r="B111" s="62">
        <f t="shared" si="44"/>
        <v>49126</v>
      </c>
      <c r="C111" s="10">
        <f t="shared" si="45"/>
        <v>0</v>
      </c>
      <c r="D111" s="10">
        <f t="shared" si="32"/>
        <v>0</v>
      </c>
      <c r="E111" s="10">
        <f t="shared" si="33"/>
        <v>0</v>
      </c>
      <c r="F111" s="10">
        <f t="shared" si="34"/>
        <v>0</v>
      </c>
      <c r="G111" s="10">
        <f t="shared" si="35"/>
        <v>0</v>
      </c>
      <c r="H111" s="10">
        <f t="shared" si="36"/>
        <v>0</v>
      </c>
      <c r="I111" s="55"/>
      <c r="J111" s="10">
        <f t="shared" si="37"/>
        <v>0</v>
      </c>
      <c r="K111" s="10">
        <f t="shared" si="38"/>
        <v>0</v>
      </c>
      <c r="L111" s="10">
        <f t="shared" si="39"/>
        <v>0</v>
      </c>
      <c r="M111" s="10">
        <f t="shared" si="40"/>
        <v>0</v>
      </c>
      <c r="N111" s="10">
        <f t="shared" si="41"/>
        <v>0</v>
      </c>
      <c r="O111" s="10">
        <f t="shared" si="42"/>
        <v>0</v>
      </c>
      <c r="P111" s="10">
        <f t="shared" si="46"/>
        <v>37672.525651040014</v>
      </c>
      <c r="Q111" s="10">
        <f t="shared" si="47"/>
        <v>1.2773853086400777E-9</v>
      </c>
    </row>
    <row r="112" spans="1:17">
      <c r="A112">
        <f t="shared" si="43"/>
        <v>96</v>
      </c>
      <c r="B112" s="62">
        <f t="shared" si="44"/>
        <v>49157</v>
      </c>
      <c r="C112" s="10">
        <f t="shared" si="45"/>
        <v>0</v>
      </c>
      <c r="D112" s="10">
        <f t="shared" si="32"/>
        <v>0</v>
      </c>
      <c r="E112" s="10">
        <f t="shared" si="33"/>
        <v>0</v>
      </c>
      <c r="F112" s="10">
        <f t="shared" si="34"/>
        <v>0</v>
      </c>
      <c r="G112" s="10">
        <f t="shared" si="35"/>
        <v>0</v>
      </c>
      <c r="H112" s="10">
        <f t="shared" si="36"/>
        <v>0</v>
      </c>
      <c r="I112" s="55"/>
      <c r="J112" s="10">
        <f t="shared" si="37"/>
        <v>0</v>
      </c>
      <c r="K112" s="10">
        <f t="shared" si="38"/>
        <v>0</v>
      </c>
      <c r="L112" s="10">
        <f t="shared" si="39"/>
        <v>0</v>
      </c>
      <c r="M112" s="10">
        <f t="shared" si="40"/>
        <v>0</v>
      </c>
      <c r="N112" s="10">
        <f t="shared" si="41"/>
        <v>0</v>
      </c>
      <c r="O112" s="10">
        <f t="shared" si="42"/>
        <v>0</v>
      </c>
      <c r="P112" s="10">
        <f t="shared" si="46"/>
        <v>37672.525651040014</v>
      </c>
      <c r="Q112" s="10">
        <f t="shared" si="47"/>
        <v>1.2773853086400777E-9</v>
      </c>
    </row>
    <row r="113" spans="1:17">
      <c r="A113">
        <f t="shared" si="43"/>
        <v>97</v>
      </c>
      <c r="B113" s="62">
        <f t="shared" si="44"/>
        <v>49188</v>
      </c>
      <c r="C113" s="10">
        <f t="shared" si="45"/>
        <v>0</v>
      </c>
      <c r="D113" s="10">
        <f t="shared" ref="D113:D136" si="48">IF(OR(C113&lt;=0,A113&gt;$C$7),0,C113*$C$9)</f>
        <v>0</v>
      </c>
      <c r="E113" s="10">
        <f t="shared" ref="E113:E136" si="49">MAX(0,C113+D113)</f>
        <v>0</v>
      </c>
      <c r="F113" s="10">
        <f t="shared" ref="F113:F136" si="50">IF(E113&lt;=0,0,E113*$C$6)</f>
        <v>0</v>
      </c>
      <c r="G113" s="10">
        <f t="shared" ref="G113:G136" si="51">IF(E113&lt;=0,0,IF($C$6=0,E113/($C$7-A113+1),E113*$C$6/(1-(1+$C$6)^(-($C$7-A113+1)))))</f>
        <v>0</v>
      </c>
      <c r="H113" s="10">
        <f t="shared" ref="H113:H136" si="52">MAX(0,MIN(E113,G113-F113))</f>
        <v>0</v>
      </c>
      <c r="I113" s="55"/>
      <c r="J113" s="10">
        <f t="shared" ref="J113:J136" si="53">IF(E113&lt;=0,0,IF(ISNUMBER(I113),MAX(0,I113),IF(A113&gt;=$C$11,$C$10,0)))</f>
        <v>0</v>
      </c>
      <c r="K113" s="10">
        <f t="shared" ref="K113:K136" si="54">IF(OR(E113&lt;=0,$C$12&lt;&gt;"Sim",A113&lt;$C$11),0,MAX(0,$F$5-G113))</f>
        <v>0</v>
      </c>
      <c r="L113" s="10">
        <f t="shared" ref="L113:L136" si="55">IF(E113&lt;=0,0,MIN(J113,MAX(0,E113-H113)))</f>
        <v>0</v>
      </c>
      <c r="M113" s="10">
        <f t="shared" ref="M113:M136" si="56">IF(E113&lt;=0,0,MIN(K113,MAX(0,E113-H113-L113)))</f>
        <v>0</v>
      </c>
      <c r="N113" s="10">
        <f t="shared" ref="N113:N136" si="57">IF(E113&lt;=0,0,G113+L113+M113)</f>
        <v>0</v>
      </c>
      <c r="O113" s="10">
        <f t="shared" ref="O113:O136" si="58">MAX(0,E113-H113-L113-M113)</f>
        <v>0</v>
      </c>
      <c r="P113" s="10">
        <f t="shared" si="46"/>
        <v>37672.525651040014</v>
      </c>
      <c r="Q113" s="10">
        <f t="shared" si="47"/>
        <v>1.2773853086400777E-9</v>
      </c>
    </row>
    <row r="114" spans="1:17">
      <c r="A114">
        <f t="shared" ref="A114:A136" si="59">A113+1</f>
        <v>98</v>
      </c>
      <c r="B114" s="62">
        <f t="shared" ref="B114:B136" si="60">DATE(YEAR(B113),MONTH(B113)+1,1)</f>
        <v>49218</v>
      </c>
      <c r="C114" s="10">
        <f t="shared" ref="C114:C136" si="61">O113</f>
        <v>0</v>
      </c>
      <c r="D114" s="10">
        <f t="shared" si="48"/>
        <v>0</v>
      </c>
      <c r="E114" s="10">
        <f t="shared" si="49"/>
        <v>0</v>
      </c>
      <c r="F114" s="10">
        <f t="shared" si="50"/>
        <v>0</v>
      </c>
      <c r="G114" s="10">
        <f t="shared" si="51"/>
        <v>0</v>
      </c>
      <c r="H114" s="10">
        <f t="shared" si="52"/>
        <v>0</v>
      </c>
      <c r="I114" s="55"/>
      <c r="J114" s="10">
        <f t="shared" si="53"/>
        <v>0</v>
      </c>
      <c r="K114" s="10">
        <f t="shared" si="54"/>
        <v>0</v>
      </c>
      <c r="L114" s="10">
        <f t="shared" si="55"/>
        <v>0</v>
      </c>
      <c r="M114" s="10">
        <f t="shared" si="56"/>
        <v>0</v>
      </c>
      <c r="N114" s="10">
        <f t="shared" si="57"/>
        <v>0</v>
      </c>
      <c r="O114" s="10">
        <f t="shared" si="58"/>
        <v>0</v>
      </c>
      <c r="P114" s="10">
        <f t="shared" ref="P114:P136" si="62">P113+F114</f>
        <v>37672.525651040014</v>
      </c>
      <c r="Q114" s="10">
        <f t="shared" ref="Q114:Q136" si="63">Q113+L114+M114</f>
        <v>1.2773853086400777E-9</v>
      </c>
    </row>
    <row r="115" spans="1:17">
      <c r="A115">
        <f t="shared" si="59"/>
        <v>99</v>
      </c>
      <c r="B115" s="62">
        <f t="shared" si="60"/>
        <v>49249</v>
      </c>
      <c r="C115" s="10">
        <f t="shared" si="61"/>
        <v>0</v>
      </c>
      <c r="D115" s="10">
        <f t="shared" si="48"/>
        <v>0</v>
      </c>
      <c r="E115" s="10">
        <f t="shared" si="49"/>
        <v>0</v>
      </c>
      <c r="F115" s="10">
        <f t="shared" si="50"/>
        <v>0</v>
      </c>
      <c r="G115" s="10">
        <f t="shared" si="51"/>
        <v>0</v>
      </c>
      <c r="H115" s="10">
        <f t="shared" si="52"/>
        <v>0</v>
      </c>
      <c r="I115" s="55"/>
      <c r="J115" s="10">
        <f t="shared" si="53"/>
        <v>0</v>
      </c>
      <c r="K115" s="10">
        <f t="shared" si="54"/>
        <v>0</v>
      </c>
      <c r="L115" s="10">
        <f t="shared" si="55"/>
        <v>0</v>
      </c>
      <c r="M115" s="10">
        <f t="shared" si="56"/>
        <v>0</v>
      </c>
      <c r="N115" s="10">
        <f t="shared" si="57"/>
        <v>0</v>
      </c>
      <c r="O115" s="10">
        <f t="shared" si="58"/>
        <v>0</v>
      </c>
      <c r="P115" s="10">
        <f t="shared" si="62"/>
        <v>37672.525651040014</v>
      </c>
      <c r="Q115" s="10">
        <f t="shared" si="63"/>
        <v>1.2773853086400777E-9</v>
      </c>
    </row>
    <row r="116" spans="1:17">
      <c r="A116">
        <f t="shared" si="59"/>
        <v>100</v>
      </c>
      <c r="B116" s="62">
        <f t="shared" si="60"/>
        <v>49279</v>
      </c>
      <c r="C116" s="10">
        <f t="shared" si="61"/>
        <v>0</v>
      </c>
      <c r="D116" s="10">
        <f t="shared" si="48"/>
        <v>0</v>
      </c>
      <c r="E116" s="10">
        <f t="shared" si="49"/>
        <v>0</v>
      </c>
      <c r="F116" s="10">
        <f t="shared" si="50"/>
        <v>0</v>
      </c>
      <c r="G116" s="10">
        <f t="shared" si="51"/>
        <v>0</v>
      </c>
      <c r="H116" s="10">
        <f t="shared" si="52"/>
        <v>0</v>
      </c>
      <c r="I116" s="55"/>
      <c r="J116" s="10">
        <f t="shared" si="53"/>
        <v>0</v>
      </c>
      <c r="K116" s="10">
        <f t="shared" si="54"/>
        <v>0</v>
      </c>
      <c r="L116" s="10">
        <f t="shared" si="55"/>
        <v>0</v>
      </c>
      <c r="M116" s="10">
        <f t="shared" si="56"/>
        <v>0</v>
      </c>
      <c r="N116" s="10">
        <f t="shared" si="57"/>
        <v>0</v>
      </c>
      <c r="O116" s="10">
        <f t="shared" si="58"/>
        <v>0</v>
      </c>
      <c r="P116" s="10">
        <f t="shared" si="62"/>
        <v>37672.525651040014</v>
      </c>
      <c r="Q116" s="10">
        <f t="shared" si="63"/>
        <v>1.2773853086400777E-9</v>
      </c>
    </row>
    <row r="117" spans="1:17">
      <c r="A117">
        <f t="shared" si="59"/>
        <v>101</v>
      </c>
      <c r="B117" s="62">
        <f t="shared" si="60"/>
        <v>49310</v>
      </c>
      <c r="C117" s="10">
        <f t="shared" si="61"/>
        <v>0</v>
      </c>
      <c r="D117" s="10">
        <f t="shared" si="48"/>
        <v>0</v>
      </c>
      <c r="E117" s="10">
        <f t="shared" si="49"/>
        <v>0</v>
      </c>
      <c r="F117" s="10">
        <f t="shared" si="50"/>
        <v>0</v>
      </c>
      <c r="G117" s="10">
        <f t="shared" si="51"/>
        <v>0</v>
      </c>
      <c r="H117" s="10">
        <f t="shared" si="52"/>
        <v>0</v>
      </c>
      <c r="I117" s="55"/>
      <c r="J117" s="10">
        <f t="shared" si="53"/>
        <v>0</v>
      </c>
      <c r="K117" s="10">
        <f t="shared" si="54"/>
        <v>0</v>
      </c>
      <c r="L117" s="10">
        <f t="shared" si="55"/>
        <v>0</v>
      </c>
      <c r="M117" s="10">
        <f t="shared" si="56"/>
        <v>0</v>
      </c>
      <c r="N117" s="10">
        <f t="shared" si="57"/>
        <v>0</v>
      </c>
      <c r="O117" s="10">
        <f t="shared" si="58"/>
        <v>0</v>
      </c>
      <c r="P117" s="10">
        <f t="shared" si="62"/>
        <v>37672.525651040014</v>
      </c>
      <c r="Q117" s="10">
        <f t="shared" si="63"/>
        <v>1.2773853086400777E-9</v>
      </c>
    </row>
    <row r="118" spans="1:17">
      <c r="A118">
        <f t="shared" si="59"/>
        <v>102</v>
      </c>
      <c r="B118" s="62">
        <f t="shared" si="60"/>
        <v>49341</v>
      </c>
      <c r="C118" s="10">
        <f t="shared" si="61"/>
        <v>0</v>
      </c>
      <c r="D118" s="10">
        <f t="shared" si="48"/>
        <v>0</v>
      </c>
      <c r="E118" s="10">
        <f t="shared" si="49"/>
        <v>0</v>
      </c>
      <c r="F118" s="10">
        <f t="shared" si="50"/>
        <v>0</v>
      </c>
      <c r="G118" s="10">
        <f t="shared" si="51"/>
        <v>0</v>
      </c>
      <c r="H118" s="10">
        <f t="shared" si="52"/>
        <v>0</v>
      </c>
      <c r="I118" s="55"/>
      <c r="J118" s="10">
        <f t="shared" si="53"/>
        <v>0</v>
      </c>
      <c r="K118" s="10">
        <f t="shared" si="54"/>
        <v>0</v>
      </c>
      <c r="L118" s="10">
        <f t="shared" si="55"/>
        <v>0</v>
      </c>
      <c r="M118" s="10">
        <f t="shared" si="56"/>
        <v>0</v>
      </c>
      <c r="N118" s="10">
        <f t="shared" si="57"/>
        <v>0</v>
      </c>
      <c r="O118" s="10">
        <f t="shared" si="58"/>
        <v>0</v>
      </c>
      <c r="P118" s="10">
        <f t="shared" si="62"/>
        <v>37672.525651040014</v>
      </c>
      <c r="Q118" s="10">
        <f t="shared" si="63"/>
        <v>1.2773853086400777E-9</v>
      </c>
    </row>
    <row r="119" spans="1:17">
      <c r="A119">
        <f t="shared" si="59"/>
        <v>103</v>
      </c>
      <c r="B119" s="62">
        <f t="shared" si="60"/>
        <v>49369</v>
      </c>
      <c r="C119" s="10">
        <f t="shared" si="61"/>
        <v>0</v>
      </c>
      <c r="D119" s="10">
        <f t="shared" si="48"/>
        <v>0</v>
      </c>
      <c r="E119" s="10">
        <f t="shared" si="49"/>
        <v>0</v>
      </c>
      <c r="F119" s="10">
        <f t="shared" si="50"/>
        <v>0</v>
      </c>
      <c r="G119" s="10">
        <f t="shared" si="51"/>
        <v>0</v>
      </c>
      <c r="H119" s="10">
        <f t="shared" si="52"/>
        <v>0</v>
      </c>
      <c r="I119" s="55"/>
      <c r="J119" s="10">
        <f t="shared" si="53"/>
        <v>0</v>
      </c>
      <c r="K119" s="10">
        <f t="shared" si="54"/>
        <v>0</v>
      </c>
      <c r="L119" s="10">
        <f t="shared" si="55"/>
        <v>0</v>
      </c>
      <c r="M119" s="10">
        <f t="shared" si="56"/>
        <v>0</v>
      </c>
      <c r="N119" s="10">
        <f t="shared" si="57"/>
        <v>0</v>
      </c>
      <c r="O119" s="10">
        <f t="shared" si="58"/>
        <v>0</v>
      </c>
      <c r="P119" s="10">
        <f t="shared" si="62"/>
        <v>37672.525651040014</v>
      </c>
      <c r="Q119" s="10">
        <f t="shared" si="63"/>
        <v>1.2773853086400777E-9</v>
      </c>
    </row>
    <row r="120" spans="1:17">
      <c r="A120">
        <f t="shared" si="59"/>
        <v>104</v>
      </c>
      <c r="B120" s="62">
        <f t="shared" si="60"/>
        <v>49400</v>
      </c>
      <c r="C120" s="10">
        <f t="shared" si="61"/>
        <v>0</v>
      </c>
      <c r="D120" s="10">
        <f t="shared" si="48"/>
        <v>0</v>
      </c>
      <c r="E120" s="10">
        <f t="shared" si="49"/>
        <v>0</v>
      </c>
      <c r="F120" s="10">
        <f t="shared" si="50"/>
        <v>0</v>
      </c>
      <c r="G120" s="10">
        <f t="shared" si="51"/>
        <v>0</v>
      </c>
      <c r="H120" s="10">
        <f t="shared" si="52"/>
        <v>0</v>
      </c>
      <c r="I120" s="55"/>
      <c r="J120" s="10">
        <f t="shared" si="53"/>
        <v>0</v>
      </c>
      <c r="K120" s="10">
        <f t="shared" si="54"/>
        <v>0</v>
      </c>
      <c r="L120" s="10">
        <f t="shared" si="55"/>
        <v>0</v>
      </c>
      <c r="M120" s="10">
        <f t="shared" si="56"/>
        <v>0</v>
      </c>
      <c r="N120" s="10">
        <f t="shared" si="57"/>
        <v>0</v>
      </c>
      <c r="O120" s="10">
        <f t="shared" si="58"/>
        <v>0</v>
      </c>
      <c r="P120" s="10">
        <f t="shared" si="62"/>
        <v>37672.525651040014</v>
      </c>
      <c r="Q120" s="10">
        <f t="shared" si="63"/>
        <v>1.2773853086400777E-9</v>
      </c>
    </row>
    <row r="121" spans="1:17">
      <c r="A121">
        <f t="shared" si="59"/>
        <v>105</v>
      </c>
      <c r="B121" s="62">
        <f t="shared" si="60"/>
        <v>49430</v>
      </c>
      <c r="C121" s="10">
        <f t="shared" si="61"/>
        <v>0</v>
      </c>
      <c r="D121" s="10">
        <f t="shared" si="48"/>
        <v>0</v>
      </c>
      <c r="E121" s="10">
        <f t="shared" si="49"/>
        <v>0</v>
      </c>
      <c r="F121" s="10">
        <f t="shared" si="50"/>
        <v>0</v>
      </c>
      <c r="G121" s="10">
        <f t="shared" si="51"/>
        <v>0</v>
      </c>
      <c r="H121" s="10">
        <f t="shared" si="52"/>
        <v>0</v>
      </c>
      <c r="I121" s="55"/>
      <c r="J121" s="10">
        <f t="shared" si="53"/>
        <v>0</v>
      </c>
      <c r="K121" s="10">
        <f t="shared" si="54"/>
        <v>0</v>
      </c>
      <c r="L121" s="10">
        <f t="shared" si="55"/>
        <v>0</v>
      </c>
      <c r="M121" s="10">
        <f t="shared" si="56"/>
        <v>0</v>
      </c>
      <c r="N121" s="10">
        <f t="shared" si="57"/>
        <v>0</v>
      </c>
      <c r="O121" s="10">
        <f t="shared" si="58"/>
        <v>0</v>
      </c>
      <c r="P121" s="10">
        <f t="shared" si="62"/>
        <v>37672.525651040014</v>
      </c>
      <c r="Q121" s="10">
        <f t="shared" si="63"/>
        <v>1.2773853086400777E-9</v>
      </c>
    </row>
    <row r="122" spans="1:17">
      <c r="A122">
        <f t="shared" si="59"/>
        <v>106</v>
      </c>
      <c r="B122" s="62">
        <f t="shared" si="60"/>
        <v>49461</v>
      </c>
      <c r="C122" s="10">
        <f t="shared" si="61"/>
        <v>0</v>
      </c>
      <c r="D122" s="10">
        <f t="shared" si="48"/>
        <v>0</v>
      </c>
      <c r="E122" s="10">
        <f t="shared" si="49"/>
        <v>0</v>
      </c>
      <c r="F122" s="10">
        <f t="shared" si="50"/>
        <v>0</v>
      </c>
      <c r="G122" s="10">
        <f t="shared" si="51"/>
        <v>0</v>
      </c>
      <c r="H122" s="10">
        <f t="shared" si="52"/>
        <v>0</v>
      </c>
      <c r="I122" s="55"/>
      <c r="J122" s="10">
        <f t="shared" si="53"/>
        <v>0</v>
      </c>
      <c r="K122" s="10">
        <f t="shared" si="54"/>
        <v>0</v>
      </c>
      <c r="L122" s="10">
        <f t="shared" si="55"/>
        <v>0</v>
      </c>
      <c r="M122" s="10">
        <f t="shared" si="56"/>
        <v>0</v>
      </c>
      <c r="N122" s="10">
        <f t="shared" si="57"/>
        <v>0</v>
      </c>
      <c r="O122" s="10">
        <f t="shared" si="58"/>
        <v>0</v>
      </c>
      <c r="P122" s="10">
        <f t="shared" si="62"/>
        <v>37672.525651040014</v>
      </c>
      <c r="Q122" s="10">
        <f t="shared" si="63"/>
        <v>1.2773853086400777E-9</v>
      </c>
    </row>
    <row r="123" spans="1:17">
      <c r="A123">
        <f t="shared" si="59"/>
        <v>107</v>
      </c>
      <c r="B123" s="62">
        <f t="shared" si="60"/>
        <v>49491</v>
      </c>
      <c r="C123" s="10">
        <f t="shared" si="61"/>
        <v>0</v>
      </c>
      <c r="D123" s="10">
        <f t="shared" si="48"/>
        <v>0</v>
      </c>
      <c r="E123" s="10">
        <f t="shared" si="49"/>
        <v>0</v>
      </c>
      <c r="F123" s="10">
        <f t="shared" si="50"/>
        <v>0</v>
      </c>
      <c r="G123" s="10">
        <f t="shared" si="51"/>
        <v>0</v>
      </c>
      <c r="H123" s="10">
        <f t="shared" si="52"/>
        <v>0</v>
      </c>
      <c r="I123" s="55"/>
      <c r="J123" s="10">
        <f t="shared" si="53"/>
        <v>0</v>
      </c>
      <c r="K123" s="10">
        <f t="shared" si="54"/>
        <v>0</v>
      </c>
      <c r="L123" s="10">
        <f t="shared" si="55"/>
        <v>0</v>
      </c>
      <c r="M123" s="10">
        <f t="shared" si="56"/>
        <v>0</v>
      </c>
      <c r="N123" s="10">
        <f t="shared" si="57"/>
        <v>0</v>
      </c>
      <c r="O123" s="10">
        <f t="shared" si="58"/>
        <v>0</v>
      </c>
      <c r="P123" s="10">
        <f t="shared" si="62"/>
        <v>37672.525651040014</v>
      </c>
      <c r="Q123" s="10">
        <f t="shared" si="63"/>
        <v>1.2773853086400777E-9</v>
      </c>
    </row>
    <row r="124" spans="1:17">
      <c r="A124">
        <f t="shared" si="59"/>
        <v>108</v>
      </c>
      <c r="B124" s="62">
        <f t="shared" si="60"/>
        <v>49522</v>
      </c>
      <c r="C124" s="10">
        <f t="shared" si="61"/>
        <v>0</v>
      </c>
      <c r="D124" s="10">
        <f t="shared" si="48"/>
        <v>0</v>
      </c>
      <c r="E124" s="10">
        <f t="shared" si="49"/>
        <v>0</v>
      </c>
      <c r="F124" s="10">
        <f t="shared" si="50"/>
        <v>0</v>
      </c>
      <c r="G124" s="10">
        <f t="shared" si="51"/>
        <v>0</v>
      </c>
      <c r="H124" s="10">
        <f t="shared" si="52"/>
        <v>0</v>
      </c>
      <c r="I124" s="55"/>
      <c r="J124" s="10">
        <f t="shared" si="53"/>
        <v>0</v>
      </c>
      <c r="K124" s="10">
        <f t="shared" si="54"/>
        <v>0</v>
      </c>
      <c r="L124" s="10">
        <f t="shared" si="55"/>
        <v>0</v>
      </c>
      <c r="M124" s="10">
        <f t="shared" si="56"/>
        <v>0</v>
      </c>
      <c r="N124" s="10">
        <f t="shared" si="57"/>
        <v>0</v>
      </c>
      <c r="O124" s="10">
        <f t="shared" si="58"/>
        <v>0</v>
      </c>
      <c r="P124" s="10">
        <f t="shared" si="62"/>
        <v>37672.525651040014</v>
      </c>
      <c r="Q124" s="10">
        <f t="shared" si="63"/>
        <v>1.2773853086400777E-9</v>
      </c>
    </row>
    <row r="125" spans="1:17">
      <c r="A125">
        <f t="shared" si="59"/>
        <v>109</v>
      </c>
      <c r="B125" s="62">
        <f t="shared" si="60"/>
        <v>49553</v>
      </c>
      <c r="C125" s="10">
        <f t="shared" si="61"/>
        <v>0</v>
      </c>
      <c r="D125" s="10">
        <f t="shared" si="48"/>
        <v>0</v>
      </c>
      <c r="E125" s="10">
        <f t="shared" si="49"/>
        <v>0</v>
      </c>
      <c r="F125" s="10">
        <f t="shared" si="50"/>
        <v>0</v>
      </c>
      <c r="G125" s="10">
        <f t="shared" si="51"/>
        <v>0</v>
      </c>
      <c r="H125" s="10">
        <f t="shared" si="52"/>
        <v>0</v>
      </c>
      <c r="I125" s="55"/>
      <c r="J125" s="10">
        <f t="shared" si="53"/>
        <v>0</v>
      </c>
      <c r="K125" s="10">
        <f t="shared" si="54"/>
        <v>0</v>
      </c>
      <c r="L125" s="10">
        <f t="shared" si="55"/>
        <v>0</v>
      </c>
      <c r="M125" s="10">
        <f t="shared" si="56"/>
        <v>0</v>
      </c>
      <c r="N125" s="10">
        <f t="shared" si="57"/>
        <v>0</v>
      </c>
      <c r="O125" s="10">
        <f t="shared" si="58"/>
        <v>0</v>
      </c>
      <c r="P125" s="10">
        <f t="shared" si="62"/>
        <v>37672.525651040014</v>
      </c>
      <c r="Q125" s="10">
        <f t="shared" si="63"/>
        <v>1.2773853086400777E-9</v>
      </c>
    </row>
    <row r="126" spans="1:17">
      <c r="A126">
        <f t="shared" si="59"/>
        <v>110</v>
      </c>
      <c r="B126" s="62">
        <f t="shared" si="60"/>
        <v>49583</v>
      </c>
      <c r="C126" s="10">
        <f t="shared" si="61"/>
        <v>0</v>
      </c>
      <c r="D126" s="10">
        <f t="shared" si="48"/>
        <v>0</v>
      </c>
      <c r="E126" s="10">
        <f t="shared" si="49"/>
        <v>0</v>
      </c>
      <c r="F126" s="10">
        <f t="shared" si="50"/>
        <v>0</v>
      </c>
      <c r="G126" s="10">
        <f t="shared" si="51"/>
        <v>0</v>
      </c>
      <c r="H126" s="10">
        <f t="shared" si="52"/>
        <v>0</v>
      </c>
      <c r="I126" s="55"/>
      <c r="J126" s="10">
        <f t="shared" si="53"/>
        <v>0</v>
      </c>
      <c r="K126" s="10">
        <f t="shared" si="54"/>
        <v>0</v>
      </c>
      <c r="L126" s="10">
        <f t="shared" si="55"/>
        <v>0</v>
      </c>
      <c r="M126" s="10">
        <f t="shared" si="56"/>
        <v>0</v>
      </c>
      <c r="N126" s="10">
        <f t="shared" si="57"/>
        <v>0</v>
      </c>
      <c r="O126" s="10">
        <f t="shared" si="58"/>
        <v>0</v>
      </c>
      <c r="P126" s="10">
        <f t="shared" si="62"/>
        <v>37672.525651040014</v>
      </c>
      <c r="Q126" s="10">
        <f t="shared" si="63"/>
        <v>1.2773853086400777E-9</v>
      </c>
    </row>
    <row r="127" spans="1:17">
      <c r="A127">
        <f t="shared" si="59"/>
        <v>111</v>
      </c>
      <c r="B127" s="62">
        <f t="shared" si="60"/>
        <v>49614</v>
      </c>
      <c r="C127" s="10">
        <f t="shared" si="61"/>
        <v>0</v>
      </c>
      <c r="D127" s="10">
        <f t="shared" si="48"/>
        <v>0</v>
      </c>
      <c r="E127" s="10">
        <f t="shared" si="49"/>
        <v>0</v>
      </c>
      <c r="F127" s="10">
        <f t="shared" si="50"/>
        <v>0</v>
      </c>
      <c r="G127" s="10">
        <f t="shared" si="51"/>
        <v>0</v>
      </c>
      <c r="H127" s="10">
        <f t="shared" si="52"/>
        <v>0</v>
      </c>
      <c r="I127" s="55"/>
      <c r="J127" s="10">
        <f t="shared" si="53"/>
        <v>0</v>
      </c>
      <c r="K127" s="10">
        <f t="shared" si="54"/>
        <v>0</v>
      </c>
      <c r="L127" s="10">
        <f t="shared" si="55"/>
        <v>0</v>
      </c>
      <c r="M127" s="10">
        <f t="shared" si="56"/>
        <v>0</v>
      </c>
      <c r="N127" s="10">
        <f t="shared" si="57"/>
        <v>0</v>
      </c>
      <c r="O127" s="10">
        <f t="shared" si="58"/>
        <v>0</v>
      </c>
      <c r="P127" s="10">
        <f t="shared" si="62"/>
        <v>37672.525651040014</v>
      </c>
      <c r="Q127" s="10">
        <f t="shared" si="63"/>
        <v>1.2773853086400777E-9</v>
      </c>
    </row>
    <row r="128" spans="1:17">
      <c r="A128">
        <f t="shared" si="59"/>
        <v>112</v>
      </c>
      <c r="B128" s="62">
        <f t="shared" si="60"/>
        <v>49644</v>
      </c>
      <c r="C128" s="10">
        <f t="shared" si="61"/>
        <v>0</v>
      </c>
      <c r="D128" s="10">
        <f t="shared" si="48"/>
        <v>0</v>
      </c>
      <c r="E128" s="10">
        <f t="shared" si="49"/>
        <v>0</v>
      </c>
      <c r="F128" s="10">
        <f t="shared" si="50"/>
        <v>0</v>
      </c>
      <c r="G128" s="10">
        <f t="shared" si="51"/>
        <v>0</v>
      </c>
      <c r="H128" s="10">
        <f t="shared" si="52"/>
        <v>0</v>
      </c>
      <c r="I128" s="55"/>
      <c r="J128" s="10">
        <f t="shared" si="53"/>
        <v>0</v>
      </c>
      <c r="K128" s="10">
        <f t="shared" si="54"/>
        <v>0</v>
      </c>
      <c r="L128" s="10">
        <f t="shared" si="55"/>
        <v>0</v>
      </c>
      <c r="M128" s="10">
        <f t="shared" si="56"/>
        <v>0</v>
      </c>
      <c r="N128" s="10">
        <f t="shared" si="57"/>
        <v>0</v>
      </c>
      <c r="O128" s="10">
        <f t="shared" si="58"/>
        <v>0</v>
      </c>
      <c r="P128" s="10">
        <f t="shared" si="62"/>
        <v>37672.525651040014</v>
      </c>
      <c r="Q128" s="10">
        <f t="shared" si="63"/>
        <v>1.2773853086400777E-9</v>
      </c>
    </row>
    <row r="129" spans="1:17">
      <c r="A129">
        <f t="shared" si="59"/>
        <v>113</v>
      </c>
      <c r="B129" s="62">
        <f t="shared" si="60"/>
        <v>49675</v>
      </c>
      <c r="C129" s="10">
        <f t="shared" si="61"/>
        <v>0</v>
      </c>
      <c r="D129" s="10">
        <f t="shared" si="48"/>
        <v>0</v>
      </c>
      <c r="E129" s="10">
        <f t="shared" si="49"/>
        <v>0</v>
      </c>
      <c r="F129" s="10">
        <f t="shared" si="50"/>
        <v>0</v>
      </c>
      <c r="G129" s="10">
        <f t="shared" si="51"/>
        <v>0</v>
      </c>
      <c r="H129" s="10">
        <f t="shared" si="52"/>
        <v>0</v>
      </c>
      <c r="I129" s="55"/>
      <c r="J129" s="10">
        <f t="shared" si="53"/>
        <v>0</v>
      </c>
      <c r="K129" s="10">
        <f t="shared" si="54"/>
        <v>0</v>
      </c>
      <c r="L129" s="10">
        <f t="shared" si="55"/>
        <v>0</v>
      </c>
      <c r="M129" s="10">
        <f t="shared" si="56"/>
        <v>0</v>
      </c>
      <c r="N129" s="10">
        <f t="shared" si="57"/>
        <v>0</v>
      </c>
      <c r="O129" s="10">
        <f t="shared" si="58"/>
        <v>0</v>
      </c>
      <c r="P129" s="10">
        <f t="shared" si="62"/>
        <v>37672.525651040014</v>
      </c>
      <c r="Q129" s="10">
        <f t="shared" si="63"/>
        <v>1.2773853086400777E-9</v>
      </c>
    </row>
    <row r="130" spans="1:17">
      <c r="A130">
        <f t="shared" si="59"/>
        <v>114</v>
      </c>
      <c r="B130" s="62">
        <f t="shared" si="60"/>
        <v>49706</v>
      </c>
      <c r="C130" s="10">
        <f t="shared" si="61"/>
        <v>0</v>
      </c>
      <c r="D130" s="10">
        <f t="shared" si="48"/>
        <v>0</v>
      </c>
      <c r="E130" s="10">
        <f t="shared" si="49"/>
        <v>0</v>
      </c>
      <c r="F130" s="10">
        <f t="shared" si="50"/>
        <v>0</v>
      </c>
      <c r="G130" s="10">
        <f t="shared" si="51"/>
        <v>0</v>
      </c>
      <c r="H130" s="10">
        <f t="shared" si="52"/>
        <v>0</v>
      </c>
      <c r="I130" s="55"/>
      <c r="J130" s="10">
        <f t="shared" si="53"/>
        <v>0</v>
      </c>
      <c r="K130" s="10">
        <f t="shared" si="54"/>
        <v>0</v>
      </c>
      <c r="L130" s="10">
        <f t="shared" si="55"/>
        <v>0</v>
      </c>
      <c r="M130" s="10">
        <f t="shared" si="56"/>
        <v>0</v>
      </c>
      <c r="N130" s="10">
        <f t="shared" si="57"/>
        <v>0</v>
      </c>
      <c r="O130" s="10">
        <f t="shared" si="58"/>
        <v>0</v>
      </c>
      <c r="P130" s="10">
        <f t="shared" si="62"/>
        <v>37672.525651040014</v>
      </c>
      <c r="Q130" s="10">
        <f t="shared" si="63"/>
        <v>1.2773853086400777E-9</v>
      </c>
    </row>
    <row r="131" spans="1:17">
      <c r="A131">
        <f t="shared" si="59"/>
        <v>115</v>
      </c>
      <c r="B131" s="62">
        <f t="shared" si="60"/>
        <v>49735</v>
      </c>
      <c r="C131" s="10">
        <f t="shared" si="61"/>
        <v>0</v>
      </c>
      <c r="D131" s="10">
        <f t="shared" si="48"/>
        <v>0</v>
      </c>
      <c r="E131" s="10">
        <f t="shared" si="49"/>
        <v>0</v>
      </c>
      <c r="F131" s="10">
        <f t="shared" si="50"/>
        <v>0</v>
      </c>
      <c r="G131" s="10">
        <f t="shared" si="51"/>
        <v>0</v>
      </c>
      <c r="H131" s="10">
        <f t="shared" si="52"/>
        <v>0</v>
      </c>
      <c r="I131" s="55"/>
      <c r="J131" s="10">
        <f t="shared" si="53"/>
        <v>0</v>
      </c>
      <c r="K131" s="10">
        <f t="shared" si="54"/>
        <v>0</v>
      </c>
      <c r="L131" s="10">
        <f t="shared" si="55"/>
        <v>0</v>
      </c>
      <c r="M131" s="10">
        <f t="shared" si="56"/>
        <v>0</v>
      </c>
      <c r="N131" s="10">
        <f t="shared" si="57"/>
        <v>0</v>
      </c>
      <c r="O131" s="10">
        <f t="shared" si="58"/>
        <v>0</v>
      </c>
      <c r="P131" s="10">
        <f t="shared" si="62"/>
        <v>37672.525651040014</v>
      </c>
      <c r="Q131" s="10">
        <f t="shared" si="63"/>
        <v>1.2773853086400777E-9</v>
      </c>
    </row>
    <row r="132" spans="1:17">
      <c r="A132">
        <f t="shared" si="59"/>
        <v>116</v>
      </c>
      <c r="B132" s="62">
        <f t="shared" si="60"/>
        <v>49766</v>
      </c>
      <c r="C132" s="10">
        <f t="shared" si="61"/>
        <v>0</v>
      </c>
      <c r="D132" s="10">
        <f t="shared" si="48"/>
        <v>0</v>
      </c>
      <c r="E132" s="10">
        <f t="shared" si="49"/>
        <v>0</v>
      </c>
      <c r="F132" s="10">
        <f t="shared" si="50"/>
        <v>0</v>
      </c>
      <c r="G132" s="10">
        <f t="shared" si="51"/>
        <v>0</v>
      </c>
      <c r="H132" s="10">
        <f t="shared" si="52"/>
        <v>0</v>
      </c>
      <c r="I132" s="55"/>
      <c r="J132" s="10">
        <f t="shared" si="53"/>
        <v>0</v>
      </c>
      <c r="K132" s="10">
        <f t="shared" si="54"/>
        <v>0</v>
      </c>
      <c r="L132" s="10">
        <f t="shared" si="55"/>
        <v>0</v>
      </c>
      <c r="M132" s="10">
        <f t="shared" si="56"/>
        <v>0</v>
      </c>
      <c r="N132" s="10">
        <f t="shared" si="57"/>
        <v>0</v>
      </c>
      <c r="O132" s="10">
        <f t="shared" si="58"/>
        <v>0</v>
      </c>
      <c r="P132" s="10">
        <f t="shared" si="62"/>
        <v>37672.525651040014</v>
      </c>
      <c r="Q132" s="10">
        <f t="shared" si="63"/>
        <v>1.2773853086400777E-9</v>
      </c>
    </row>
    <row r="133" spans="1:17">
      <c r="A133">
        <f t="shared" si="59"/>
        <v>117</v>
      </c>
      <c r="B133" s="62">
        <f t="shared" si="60"/>
        <v>49796</v>
      </c>
      <c r="C133" s="10">
        <f t="shared" si="61"/>
        <v>0</v>
      </c>
      <c r="D133" s="10">
        <f t="shared" si="48"/>
        <v>0</v>
      </c>
      <c r="E133" s="10">
        <f t="shared" si="49"/>
        <v>0</v>
      </c>
      <c r="F133" s="10">
        <f t="shared" si="50"/>
        <v>0</v>
      </c>
      <c r="G133" s="10">
        <f t="shared" si="51"/>
        <v>0</v>
      </c>
      <c r="H133" s="10">
        <f t="shared" si="52"/>
        <v>0</v>
      </c>
      <c r="I133" s="55"/>
      <c r="J133" s="10">
        <f t="shared" si="53"/>
        <v>0</v>
      </c>
      <c r="K133" s="10">
        <f t="shared" si="54"/>
        <v>0</v>
      </c>
      <c r="L133" s="10">
        <f t="shared" si="55"/>
        <v>0</v>
      </c>
      <c r="M133" s="10">
        <f t="shared" si="56"/>
        <v>0</v>
      </c>
      <c r="N133" s="10">
        <f t="shared" si="57"/>
        <v>0</v>
      </c>
      <c r="O133" s="10">
        <f t="shared" si="58"/>
        <v>0</v>
      </c>
      <c r="P133" s="10">
        <f t="shared" si="62"/>
        <v>37672.525651040014</v>
      </c>
      <c r="Q133" s="10">
        <f t="shared" si="63"/>
        <v>1.2773853086400777E-9</v>
      </c>
    </row>
    <row r="134" spans="1:17">
      <c r="A134">
        <f t="shared" si="59"/>
        <v>118</v>
      </c>
      <c r="B134" s="62">
        <f t="shared" si="60"/>
        <v>49827</v>
      </c>
      <c r="C134" s="10">
        <f t="shared" si="61"/>
        <v>0</v>
      </c>
      <c r="D134" s="10">
        <f t="shared" si="48"/>
        <v>0</v>
      </c>
      <c r="E134" s="10">
        <f t="shared" si="49"/>
        <v>0</v>
      </c>
      <c r="F134" s="10">
        <f t="shared" si="50"/>
        <v>0</v>
      </c>
      <c r="G134" s="10">
        <f t="shared" si="51"/>
        <v>0</v>
      </c>
      <c r="H134" s="10">
        <f t="shared" si="52"/>
        <v>0</v>
      </c>
      <c r="I134" s="55"/>
      <c r="J134" s="10">
        <f t="shared" si="53"/>
        <v>0</v>
      </c>
      <c r="K134" s="10">
        <f t="shared" si="54"/>
        <v>0</v>
      </c>
      <c r="L134" s="10">
        <f t="shared" si="55"/>
        <v>0</v>
      </c>
      <c r="M134" s="10">
        <f t="shared" si="56"/>
        <v>0</v>
      </c>
      <c r="N134" s="10">
        <f t="shared" si="57"/>
        <v>0</v>
      </c>
      <c r="O134" s="10">
        <f t="shared" si="58"/>
        <v>0</v>
      </c>
      <c r="P134" s="10">
        <f t="shared" si="62"/>
        <v>37672.525651040014</v>
      </c>
      <c r="Q134" s="10">
        <f t="shared" si="63"/>
        <v>1.2773853086400777E-9</v>
      </c>
    </row>
    <row r="135" spans="1:17">
      <c r="A135">
        <f t="shared" si="59"/>
        <v>119</v>
      </c>
      <c r="B135" s="62">
        <f t="shared" si="60"/>
        <v>49857</v>
      </c>
      <c r="C135" s="10">
        <f t="shared" si="61"/>
        <v>0</v>
      </c>
      <c r="D135" s="10">
        <f t="shared" si="48"/>
        <v>0</v>
      </c>
      <c r="E135" s="10">
        <f t="shared" si="49"/>
        <v>0</v>
      </c>
      <c r="F135" s="10">
        <f t="shared" si="50"/>
        <v>0</v>
      </c>
      <c r="G135" s="10">
        <f t="shared" si="51"/>
        <v>0</v>
      </c>
      <c r="H135" s="10">
        <f t="shared" si="52"/>
        <v>0</v>
      </c>
      <c r="I135" s="55"/>
      <c r="J135" s="10">
        <f t="shared" si="53"/>
        <v>0</v>
      </c>
      <c r="K135" s="10">
        <f t="shared" si="54"/>
        <v>0</v>
      </c>
      <c r="L135" s="10">
        <f t="shared" si="55"/>
        <v>0</v>
      </c>
      <c r="M135" s="10">
        <f t="shared" si="56"/>
        <v>0</v>
      </c>
      <c r="N135" s="10">
        <f t="shared" si="57"/>
        <v>0</v>
      </c>
      <c r="O135" s="10">
        <f t="shared" si="58"/>
        <v>0</v>
      </c>
      <c r="P135" s="10">
        <f t="shared" si="62"/>
        <v>37672.525651040014</v>
      </c>
      <c r="Q135" s="10">
        <f t="shared" si="63"/>
        <v>1.2773853086400777E-9</v>
      </c>
    </row>
    <row r="136" spans="1:17">
      <c r="A136">
        <f t="shared" si="59"/>
        <v>120</v>
      </c>
      <c r="B136" s="62">
        <f t="shared" si="60"/>
        <v>49888</v>
      </c>
      <c r="C136" s="10">
        <f t="shared" si="61"/>
        <v>0</v>
      </c>
      <c r="D136" s="10">
        <f t="shared" si="48"/>
        <v>0</v>
      </c>
      <c r="E136" s="10">
        <f t="shared" si="49"/>
        <v>0</v>
      </c>
      <c r="F136" s="10">
        <f t="shared" si="50"/>
        <v>0</v>
      </c>
      <c r="G136" s="10">
        <f t="shared" si="51"/>
        <v>0</v>
      </c>
      <c r="H136" s="10">
        <f t="shared" si="52"/>
        <v>0</v>
      </c>
      <c r="I136" s="55"/>
      <c r="J136" s="10">
        <f t="shared" si="53"/>
        <v>0</v>
      </c>
      <c r="K136" s="10">
        <f t="shared" si="54"/>
        <v>0</v>
      </c>
      <c r="L136" s="10">
        <f t="shared" si="55"/>
        <v>0</v>
      </c>
      <c r="M136" s="10">
        <f t="shared" si="56"/>
        <v>0</v>
      </c>
      <c r="N136" s="10">
        <f t="shared" si="57"/>
        <v>0</v>
      </c>
      <c r="O136" s="10">
        <f t="shared" si="58"/>
        <v>0</v>
      </c>
      <c r="P136" s="10">
        <f t="shared" si="62"/>
        <v>37672.525651040014</v>
      </c>
      <c r="Q136" s="10">
        <f t="shared" si="63"/>
        <v>1.2773853086400777E-9</v>
      </c>
    </row>
  </sheetData>
  <mergeCells count="5">
    <mergeCell ref="A1:Q1"/>
    <mergeCell ref="A2:Q2"/>
    <mergeCell ref="A4:C4"/>
    <mergeCell ref="E4:H4"/>
    <mergeCell ref="A14:Q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154"/>
  <sheetViews>
    <sheetView workbookViewId="0">
      <selection activeCell="C8" sqref="C8"/>
    </sheetView>
  </sheetViews>
  <sheetFormatPr defaultRowHeight="13.5"/>
  <cols>
    <col min="1" max="1" width="23.9375" customWidth="1"/>
    <col min="2" max="2" width="16.9375" customWidth="1"/>
    <col min="3" max="3" width="19.125" customWidth="1"/>
    <col min="4" max="4" width="16.25" customWidth="1"/>
    <col min="5" max="5" width="23.9375" customWidth="1"/>
    <col min="6" max="6" width="16.9375" customWidth="1"/>
    <col min="9" max="9" width="23.9375" customWidth="1"/>
    <col min="10" max="10" width="16.9375" customWidth="1"/>
  </cols>
  <sheetData>
    <row r="1" spans="1:12" ht="15" customHeight="1">
      <c r="A1" s="204" t="s">
        <v>515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</row>
    <row r="2" spans="1:12">
      <c r="A2" s="213" t="s">
        <v>516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</row>
    <row r="3" spans="1:12" ht="13.9" thickBot="1"/>
    <row r="4" spans="1:12" ht="13.9">
      <c r="A4" s="211" t="s">
        <v>330</v>
      </c>
      <c r="B4" s="212"/>
      <c r="C4" s="207" t="s">
        <v>331</v>
      </c>
      <c r="D4" s="208"/>
      <c r="E4" s="209" t="s">
        <v>332</v>
      </c>
      <c r="F4" s="210"/>
    </row>
    <row r="5" spans="1:12">
      <c r="A5" s="138" t="s">
        <v>333</v>
      </c>
      <c r="B5" s="139">
        <f>IF(Financiamento_EV!$C$5&lt;=0,"",IFERROR(MATCH(0,$H$35:$H$154,0),Financiamento_EV!$C$7))</f>
        <v>48</v>
      </c>
      <c r="C5" s="144" t="s">
        <v>333</v>
      </c>
      <c r="D5" s="145">
        <f>IF(Financiamento_EV!$C$5&lt;=0,"",IFERROR(MATCH(0,$S$35:$S$154,0),Financiamento_EV!$C$7))</f>
        <v>48</v>
      </c>
      <c r="E5" s="150" t="s">
        <v>333</v>
      </c>
      <c r="F5" s="151">
        <f>IF(Financiamento_EV!$C$5&lt;=0,"",IFERROR(MATCH(0,$AF$35:$AF$154,0),Financiamento_EV!$C$7))</f>
        <v>48</v>
      </c>
    </row>
    <row r="6" spans="1:12">
      <c r="A6" s="138" t="s">
        <v>334</v>
      </c>
      <c r="B6" s="140">
        <f>IF(B5="","",DATE(YEAR(Financiamento_EV!$C$8),MONTH(Financiamento_EV!$C$8)+B5-1,1))</f>
        <v>47696</v>
      </c>
      <c r="C6" s="144" t="s">
        <v>334</v>
      </c>
      <c r="D6" s="146">
        <f>IF(D5="","",DATE(YEAR(Financiamento_EV!$C$8),MONTH(Financiamento_EV!$C$8)+D5-1,1))</f>
        <v>47696</v>
      </c>
      <c r="E6" s="150" t="s">
        <v>334</v>
      </c>
      <c r="F6" s="152">
        <f>IF(F5="","",DATE(YEAR(Financiamento_EV!$C$8),MONTH(Financiamento_EV!$C$8)+F5-1,1))</f>
        <v>47696</v>
      </c>
    </row>
    <row r="7" spans="1:12">
      <c r="A7" s="138" t="s">
        <v>335</v>
      </c>
      <c r="B7" s="141">
        <f>IF(B5="","",SUM($E$35:$E$154))</f>
        <v>37672.525651040094</v>
      </c>
      <c r="C7" s="144" t="s">
        <v>335</v>
      </c>
      <c r="D7" s="147">
        <f>IF(D5="","",SUM($O$35:$O$154))</f>
        <v>37672.525651040094</v>
      </c>
      <c r="E7" s="150" t="s">
        <v>335</v>
      </c>
      <c r="F7" s="153">
        <f>IF(F5="","",SUM($Z$35:$Z$154))</f>
        <v>37672.525651040014</v>
      </c>
    </row>
    <row r="8" spans="1:12">
      <c r="A8" s="138" t="s">
        <v>336</v>
      </c>
      <c r="B8" s="141">
        <f>IF(B5="","",SUM($I$35:$I$154))</f>
        <v>117672.52565104009</v>
      </c>
      <c r="C8" s="144" t="s">
        <v>336</v>
      </c>
      <c r="D8" s="147">
        <f>IF(D5="","",SUM($T$35:$T$154))</f>
        <v>117672.52565104009</v>
      </c>
      <c r="E8" s="150" t="s">
        <v>336</v>
      </c>
      <c r="F8" s="153">
        <f>IF(F5="","",SUM($AE$35:$AE$154))</f>
        <v>117672.52565104011</v>
      </c>
    </row>
    <row r="9" spans="1:12">
      <c r="A9" s="138" t="s">
        <v>337</v>
      </c>
      <c r="B9" s="141">
        <v>0</v>
      </c>
      <c r="C9" s="144" t="s">
        <v>337</v>
      </c>
      <c r="D9" s="147">
        <f>IF(D7="","",$B$7-D7)</f>
        <v>0</v>
      </c>
      <c r="E9" s="150" t="s">
        <v>337</v>
      </c>
      <c r="F9" s="153">
        <f>IF(F7="","",$B$7-F7)</f>
        <v>8.0035533756017685E-11</v>
      </c>
    </row>
    <row r="10" spans="1:12">
      <c r="A10" s="138" t="s">
        <v>338</v>
      </c>
      <c r="B10" s="139">
        <v>0</v>
      </c>
      <c r="C10" s="144" t="s">
        <v>338</v>
      </c>
      <c r="D10" s="145">
        <f>IF(D5="","",Financiamento_EV!$C$7-D5)</f>
        <v>0</v>
      </c>
      <c r="E10" s="150" t="s">
        <v>338</v>
      </c>
      <c r="F10" s="151">
        <f>IF(F5="","",Financiamento_EV!$C$7-F5)</f>
        <v>0</v>
      </c>
    </row>
    <row r="11" spans="1:12" ht="13.9" thickBot="1">
      <c r="A11" s="142" t="s">
        <v>517</v>
      </c>
      <c r="B11" s="143">
        <v>0</v>
      </c>
      <c r="C11" s="148" t="s">
        <v>517</v>
      </c>
      <c r="D11" s="149">
        <f>IF(D5="","",SUM($R$35:$R$154))</f>
        <v>0</v>
      </c>
      <c r="E11" s="154" t="s">
        <v>517</v>
      </c>
      <c r="F11" s="155">
        <f>IF(F5="","",SUM($AG$35:$AG$154))</f>
        <v>1.2773853086400777E-9</v>
      </c>
    </row>
    <row r="34" spans="1:42" ht="27.75">
      <c r="A34" s="63" t="s">
        <v>143</v>
      </c>
      <c r="B34" s="63" t="s">
        <v>501</v>
      </c>
      <c r="C34" s="63" t="s">
        <v>502</v>
      </c>
      <c r="D34" s="63" t="s">
        <v>503</v>
      </c>
      <c r="E34" s="63" t="s">
        <v>504</v>
      </c>
      <c r="F34" s="63" t="s">
        <v>518</v>
      </c>
      <c r="G34" s="63" t="s">
        <v>519</v>
      </c>
      <c r="H34" s="63" t="s">
        <v>512</v>
      </c>
      <c r="I34" s="63" t="s">
        <v>520</v>
      </c>
      <c r="K34" s="63" t="s">
        <v>143</v>
      </c>
      <c r="L34" s="63" t="s">
        <v>501</v>
      </c>
      <c r="M34" s="63" t="s">
        <v>502</v>
      </c>
      <c r="N34" s="63" t="s">
        <v>503</v>
      </c>
      <c r="O34" s="63" t="s">
        <v>504</v>
      </c>
      <c r="P34" s="63" t="s">
        <v>518</v>
      </c>
      <c r="Q34" s="63" t="s">
        <v>519</v>
      </c>
      <c r="R34" s="63" t="s">
        <v>521</v>
      </c>
      <c r="S34" s="63" t="s">
        <v>512</v>
      </c>
      <c r="T34" s="63" t="s">
        <v>520</v>
      </c>
      <c r="V34" s="63" t="s">
        <v>143</v>
      </c>
      <c r="W34" s="63" t="s">
        <v>501</v>
      </c>
      <c r="X34" s="63" t="s">
        <v>502</v>
      </c>
      <c r="Y34" s="63" t="s">
        <v>503</v>
      </c>
      <c r="Z34" s="63" t="s">
        <v>504</v>
      </c>
      <c r="AA34" s="63" t="s">
        <v>518</v>
      </c>
      <c r="AB34" s="63" t="s">
        <v>519</v>
      </c>
      <c r="AC34" s="63" t="s">
        <v>521</v>
      </c>
      <c r="AD34" s="63" t="s">
        <v>522</v>
      </c>
      <c r="AE34" s="63" t="s">
        <v>520</v>
      </c>
      <c r="AF34" s="63" t="s">
        <v>512</v>
      </c>
      <c r="AG34" s="63" t="s">
        <v>517</v>
      </c>
      <c r="AI34" t="s">
        <v>143</v>
      </c>
      <c r="AJ34" t="s">
        <v>523</v>
      </c>
      <c r="AK34" t="s">
        <v>524</v>
      </c>
      <c r="AL34" t="s">
        <v>525</v>
      </c>
      <c r="AM34" t="s">
        <v>143</v>
      </c>
      <c r="AN34" t="s">
        <v>523</v>
      </c>
      <c r="AO34" t="s">
        <v>524</v>
      </c>
      <c r="AP34" t="s">
        <v>525</v>
      </c>
    </row>
    <row r="35" spans="1:42">
      <c r="A35">
        <f>1</f>
        <v>1</v>
      </c>
      <c r="B35" s="10">
        <f>Financiamento_EV!$C$5</f>
        <v>80000</v>
      </c>
      <c r="C35" s="10">
        <f>IF(OR(B35&lt;=0,A35&gt;Financiamento_EV!$C$7),0,B35*Financiamento_EV!$C$9)</f>
        <v>0</v>
      </c>
      <c r="D35" s="10">
        <f t="shared" ref="D35:D66" si="0">MAX(0,B35+C35)</f>
        <v>80000</v>
      </c>
      <c r="E35" s="10">
        <f>IF(D35&lt;=0,0,D35*Financiamento_EV!$C$6)</f>
        <v>1360</v>
      </c>
      <c r="F35" s="10">
        <f>IF(D35&lt;=0,0,IF(Financiamento_EV!$C$6=0,D35/(Financiamento_EV!$C$7-A35+1),D35*Financiamento_EV!$C$6/(1-(1+Financiamento_EV!$C$6)^(-(Financiamento_EV!$C$7-A35+1)))))</f>
        <v>2451.5109510633461</v>
      </c>
      <c r="G35" s="10">
        <f t="shared" ref="G35:G66" si="1">MAX(0,MIN(D35,F35-E35))</f>
        <v>1091.5109510633461</v>
      </c>
      <c r="H35" s="10">
        <f t="shared" ref="H35:H66" si="2">MAX(0,D35-G35)</f>
        <v>78908.489048936652</v>
      </c>
      <c r="I35" s="10">
        <f t="shared" ref="I35:I66" si="3">IF(D35&lt;=0,0,F35)</f>
        <v>2451.5109510633461</v>
      </c>
      <c r="K35">
        <f>1</f>
        <v>1</v>
      </c>
      <c r="L35" s="10">
        <f>Financiamento_EV!$C$5</f>
        <v>80000</v>
      </c>
      <c r="M35" s="10">
        <f>IF(OR(L35&lt;=0,K35&gt;Financiamento_EV!$C$7),0,L35*Financiamento_EV!$C$9)</f>
        <v>0</v>
      </c>
      <c r="N35" s="10">
        <f t="shared" ref="N35:N66" si="4">MAX(0,L35+M35)</f>
        <v>80000</v>
      </c>
      <c r="O35" s="10">
        <f>IF(N35&lt;=0,0,N35*Financiamento_EV!$C$6)</f>
        <v>1360</v>
      </c>
      <c r="P35" s="10">
        <f>IF(N35&lt;=0,0,IF(Financiamento_EV!$C$6=0,N35/(Financiamento_EV!$C$7-K35+1),N35*Financiamento_EV!$C$6/(1-(1+Financiamento_EV!$C$6)^(-(Financiamento_EV!$C$7-K35+1)))))</f>
        <v>2451.5109510633461</v>
      </c>
      <c r="Q35" s="10">
        <f t="shared" ref="Q35:Q66" si="5">MAX(0,MIN(N35,P35-O35))</f>
        <v>1091.5109510633461</v>
      </c>
      <c r="R35" s="10">
        <f>IF(N35&lt;=0,0,MIN(IF(ISNUMBER(INDEX(Financiamento_EV!$I$17:$I$136,K35)),MAX(0,INDEX(Financiamento_EV!$I$17:$I$136,K35)),IF(K35&gt;=Financiamento_EV!$C$11,Financiamento_EV!$C$10,0)),MAX(0,N35-Q35)))</f>
        <v>0</v>
      </c>
      <c r="S35" s="10">
        <f t="shared" ref="S35:S66" si="6">MAX(0,N35-Q35-R35)</f>
        <v>78908.489048936652</v>
      </c>
      <c r="T35" s="10">
        <f t="shared" ref="T35:T66" si="7">IF(N35&lt;=0,0,P35+R35)</f>
        <v>2451.5109510633461</v>
      </c>
      <c r="V35">
        <f>1</f>
        <v>1</v>
      </c>
      <c r="W35" s="10">
        <f>Financiamento_EV!$C$5</f>
        <v>80000</v>
      </c>
      <c r="X35" s="10">
        <f>IF(OR(W35&lt;=0,V35&gt;Financiamento_EV!$C$7),0,W35*Financiamento_EV!$C$9)</f>
        <v>0</v>
      </c>
      <c r="Y35" s="10">
        <f t="shared" ref="Y35:Y66" si="8">MAX(0,W35+X35)</f>
        <v>80000</v>
      </c>
      <c r="Z35" s="10">
        <f>IF(Y35&lt;=0,0,Y35*Financiamento_EV!$C$6)</f>
        <v>1360</v>
      </c>
      <c r="AA35" s="10">
        <f>IF(Y35&lt;=0,0,IF(Financiamento_EV!$C$6=0,Y35/(Financiamento_EV!$C$7-V35+1),Y35*Financiamento_EV!$C$6/(1-(1+Financiamento_EV!$C$6)^(-(Financiamento_EV!$C$7-V35+1)))))</f>
        <v>2451.5109510633461</v>
      </c>
      <c r="AB35" s="10">
        <f t="shared" ref="AB35:AB66" si="9">MAX(0,MIN(Y35,AA35-Z35))</f>
        <v>1091.5109510633461</v>
      </c>
      <c r="AC35" s="10">
        <f>IF(Y35&lt;=0,0,MIN(IF(ISNUMBER(INDEX(Financiamento_EV!$I$17:$I$136,V35)),MAX(0,INDEX(Financiamento_EV!$I$17:$I$136,V35)),IF(V35&gt;=Financiamento_EV!$C$11,Financiamento_EV!$C$10,0)),MAX(0,Y35-AB35)))</f>
        <v>0</v>
      </c>
      <c r="AD35" s="10">
        <f>IF(OR(Y35&lt;=0,V35&lt;Financiamento_EV!$C$11),0,MIN(MAX(0,Financiamento_EV!$F$5-AA35),MAX(0,Y35-AB35-AC35)))</f>
        <v>0</v>
      </c>
      <c r="AE35" s="10">
        <f t="shared" ref="AE35:AE66" si="10">IF(Y35&lt;=0,0,AA35+AC35+AD35)</f>
        <v>2451.5109510633461</v>
      </c>
      <c r="AF35" s="10">
        <f t="shared" ref="AF35:AF66" si="11">MAX(0,Y35-AB35-AC35-AD35)</f>
        <v>78908.489048936652</v>
      </c>
      <c r="AG35" s="10">
        <f t="shared" ref="AG35:AG66" si="12">AC35+AD35</f>
        <v>0</v>
      </c>
      <c r="AI35">
        <f t="shared" ref="AI35:AI66" si="13">A35</f>
        <v>1</v>
      </c>
      <c r="AJ35">
        <f t="shared" ref="AJ35:AJ66" si="14">H35</f>
        <v>78908.489048936652</v>
      </c>
      <c r="AK35">
        <f t="shared" ref="AK35:AK66" si="15">S35</f>
        <v>78908.489048936652</v>
      </c>
      <c r="AL35">
        <f t="shared" ref="AL35:AL66" si="16">AF35</f>
        <v>78908.489048936652</v>
      </c>
      <c r="AM35">
        <f t="shared" ref="AM35:AM66" si="17">A35</f>
        <v>1</v>
      </c>
      <c r="AN35">
        <f t="shared" ref="AN35:AN66" si="18">I35</f>
        <v>2451.5109510633461</v>
      </c>
      <c r="AO35">
        <f t="shared" ref="AO35:AO66" si="19">T35</f>
        <v>2451.5109510633461</v>
      </c>
      <c r="AP35">
        <f t="shared" ref="AP35:AP66" si="20">AE35</f>
        <v>2451.5109510633461</v>
      </c>
    </row>
    <row r="36" spans="1:42">
      <c r="A36">
        <f t="shared" ref="A36:A67" si="21">A35+1</f>
        <v>2</v>
      </c>
      <c r="B36" s="10">
        <f t="shared" ref="B36:B67" si="22">H35</f>
        <v>78908.489048936652</v>
      </c>
      <c r="C36" s="10">
        <f>IF(OR(B36&lt;=0,A36&gt;Financiamento_EV!$C$7),0,B36*Financiamento_EV!$C$9)</f>
        <v>0</v>
      </c>
      <c r="D36" s="10">
        <f t="shared" si="0"/>
        <v>78908.489048936652</v>
      </c>
      <c r="E36" s="10">
        <f>IF(D36&lt;=0,0,D36*Financiamento_EV!$C$6)</f>
        <v>1341.4443138319232</v>
      </c>
      <c r="F36" s="10">
        <f>IF(D36&lt;=0,0,IF(Financiamento_EV!$C$6=0,D36/(Financiamento_EV!$C$7-A36+1),D36*Financiamento_EV!$C$6/(1-(1+Financiamento_EV!$C$6)^(-(Financiamento_EV!$C$7-A36+1)))))</f>
        <v>2451.5109510633461</v>
      </c>
      <c r="G36" s="10">
        <f t="shared" si="1"/>
        <v>1110.0666372314229</v>
      </c>
      <c r="H36" s="10">
        <f t="shared" si="2"/>
        <v>77798.422411705222</v>
      </c>
      <c r="I36" s="10">
        <f t="shared" si="3"/>
        <v>2451.5109510633461</v>
      </c>
      <c r="K36">
        <f t="shared" ref="K36:K67" si="23">K35+1</f>
        <v>2</v>
      </c>
      <c r="L36" s="10">
        <f t="shared" ref="L36:L67" si="24">S35</f>
        <v>78908.489048936652</v>
      </c>
      <c r="M36" s="10">
        <f>IF(OR(L36&lt;=0,K36&gt;Financiamento_EV!$C$7),0,L36*Financiamento_EV!$C$9)</f>
        <v>0</v>
      </c>
      <c r="N36" s="10">
        <f t="shared" si="4"/>
        <v>78908.489048936652</v>
      </c>
      <c r="O36" s="10">
        <f>IF(N36&lt;=0,0,N36*Financiamento_EV!$C$6)</f>
        <v>1341.4443138319232</v>
      </c>
      <c r="P36" s="10">
        <f>IF(N36&lt;=0,0,IF(Financiamento_EV!$C$6=0,N36/(Financiamento_EV!$C$7-K36+1),N36*Financiamento_EV!$C$6/(1-(1+Financiamento_EV!$C$6)^(-(Financiamento_EV!$C$7-K36+1)))))</f>
        <v>2451.5109510633461</v>
      </c>
      <c r="Q36" s="10">
        <f t="shared" si="5"/>
        <v>1110.0666372314229</v>
      </c>
      <c r="R36" s="10">
        <f>IF(N36&lt;=0,0,MIN(IF(ISNUMBER(INDEX(Financiamento_EV!$I$17:$I$136,K36)),MAX(0,INDEX(Financiamento_EV!$I$17:$I$136,K36)),IF(K36&gt;=Financiamento_EV!$C$11,Financiamento_EV!$C$10,0)),MAX(0,N36-Q36)))</f>
        <v>0</v>
      </c>
      <c r="S36" s="10">
        <f t="shared" si="6"/>
        <v>77798.422411705222</v>
      </c>
      <c r="T36" s="10">
        <f t="shared" si="7"/>
        <v>2451.5109510633461</v>
      </c>
      <c r="V36">
        <f t="shared" ref="V36:V67" si="25">V35+1</f>
        <v>2</v>
      </c>
      <c r="W36" s="10">
        <f t="shared" ref="W36:W67" si="26">AF35</f>
        <v>78908.489048936652</v>
      </c>
      <c r="X36" s="10">
        <f>IF(OR(W36&lt;=0,V36&gt;Financiamento_EV!$C$7),0,W36*Financiamento_EV!$C$9)</f>
        <v>0</v>
      </c>
      <c r="Y36" s="10">
        <f t="shared" si="8"/>
        <v>78908.489048936652</v>
      </c>
      <c r="Z36" s="10">
        <f>IF(Y36&lt;=0,0,Y36*Financiamento_EV!$C$6)</f>
        <v>1341.4443138319232</v>
      </c>
      <c r="AA36" s="10">
        <f>IF(Y36&lt;=0,0,IF(Financiamento_EV!$C$6=0,Y36/(Financiamento_EV!$C$7-V36+1),Y36*Financiamento_EV!$C$6/(1-(1+Financiamento_EV!$C$6)^(-(Financiamento_EV!$C$7-V36+1)))))</f>
        <v>2451.5109510633461</v>
      </c>
      <c r="AB36" s="10">
        <f t="shared" si="9"/>
        <v>1110.0666372314229</v>
      </c>
      <c r="AC36" s="10">
        <f>IF(Y36&lt;=0,0,MIN(IF(ISNUMBER(INDEX(Financiamento_EV!$I$17:$I$136,V36)),MAX(0,INDEX(Financiamento_EV!$I$17:$I$136,V36)),IF(V36&gt;=Financiamento_EV!$C$11,Financiamento_EV!$C$10,0)),MAX(0,Y36-AB36)))</f>
        <v>0</v>
      </c>
      <c r="AD36" s="10">
        <f>IF(OR(Y36&lt;=0,V36&lt;Financiamento_EV!$C$11),0,MIN(MAX(0,Financiamento_EV!$F$5-AA36),MAX(0,Y36-AB36-AC36)))</f>
        <v>0</v>
      </c>
      <c r="AE36" s="10">
        <f t="shared" si="10"/>
        <v>2451.5109510633461</v>
      </c>
      <c r="AF36" s="10">
        <f t="shared" si="11"/>
        <v>77798.422411705222</v>
      </c>
      <c r="AG36" s="10">
        <f t="shared" si="12"/>
        <v>0</v>
      </c>
      <c r="AI36">
        <f t="shared" si="13"/>
        <v>2</v>
      </c>
      <c r="AJ36">
        <f t="shared" si="14"/>
        <v>77798.422411705222</v>
      </c>
      <c r="AK36">
        <f t="shared" si="15"/>
        <v>77798.422411705222</v>
      </c>
      <c r="AL36">
        <f t="shared" si="16"/>
        <v>77798.422411705222</v>
      </c>
      <c r="AM36">
        <f t="shared" si="17"/>
        <v>2</v>
      </c>
      <c r="AN36">
        <f t="shared" si="18"/>
        <v>2451.5109510633461</v>
      </c>
      <c r="AO36">
        <f t="shared" si="19"/>
        <v>2451.5109510633461</v>
      </c>
      <c r="AP36">
        <f t="shared" si="20"/>
        <v>2451.5109510633461</v>
      </c>
    </row>
    <row r="37" spans="1:42">
      <c r="A37">
        <f t="shared" si="21"/>
        <v>3</v>
      </c>
      <c r="B37" s="10">
        <f t="shared" si="22"/>
        <v>77798.422411705222</v>
      </c>
      <c r="C37" s="10">
        <f>IF(OR(B37&lt;=0,A37&gt;Financiamento_EV!$C$7),0,B37*Financiamento_EV!$C$9)</f>
        <v>0</v>
      </c>
      <c r="D37" s="10">
        <f t="shared" si="0"/>
        <v>77798.422411705222</v>
      </c>
      <c r="E37" s="10">
        <f>IF(D37&lt;=0,0,D37*Financiamento_EV!$C$6)</f>
        <v>1322.5731809989888</v>
      </c>
      <c r="F37" s="10">
        <f>IF(D37&lt;=0,0,IF(Financiamento_EV!$C$6=0,D37/(Financiamento_EV!$C$7-A37+1),D37*Financiamento_EV!$C$6/(1-(1+Financiamento_EV!$C$6)^(-(Financiamento_EV!$C$7-A37+1)))))</f>
        <v>2451.5109510633451</v>
      </c>
      <c r="G37" s="10">
        <f t="shared" si="1"/>
        <v>1128.9377700643563</v>
      </c>
      <c r="H37" s="10">
        <f t="shared" si="2"/>
        <v>76669.484641640869</v>
      </c>
      <c r="I37" s="10">
        <f t="shared" si="3"/>
        <v>2451.5109510633451</v>
      </c>
      <c r="K37">
        <f t="shared" si="23"/>
        <v>3</v>
      </c>
      <c r="L37" s="10">
        <f t="shared" si="24"/>
        <v>77798.422411705222</v>
      </c>
      <c r="M37" s="10">
        <f>IF(OR(L37&lt;=0,K37&gt;Financiamento_EV!$C$7),0,L37*Financiamento_EV!$C$9)</f>
        <v>0</v>
      </c>
      <c r="N37" s="10">
        <f t="shared" si="4"/>
        <v>77798.422411705222</v>
      </c>
      <c r="O37" s="10">
        <f>IF(N37&lt;=0,0,N37*Financiamento_EV!$C$6)</f>
        <v>1322.5731809989888</v>
      </c>
      <c r="P37" s="10">
        <f>IF(N37&lt;=0,0,IF(Financiamento_EV!$C$6=0,N37/(Financiamento_EV!$C$7-K37+1),N37*Financiamento_EV!$C$6/(1-(1+Financiamento_EV!$C$6)^(-(Financiamento_EV!$C$7-K37+1)))))</f>
        <v>2451.5109510633451</v>
      </c>
      <c r="Q37" s="10">
        <f t="shared" si="5"/>
        <v>1128.9377700643563</v>
      </c>
      <c r="R37" s="10">
        <f>IF(N37&lt;=0,0,MIN(IF(ISNUMBER(INDEX(Financiamento_EV!$I$17:$I$136,K37)),MAX(0,INDEX(Financiamento_EV!$I$17:$I$136,K37)),IF(K37&gt;=Financiamento_EV!$C$11,Financiamento_EV!$C$10,0)),MAX(0,N37-Q37)))</f>
        <v>0</v>
      </c>
      <c r="S37" s="10">
        <f t="shared" si="6"/>
        <v>76669.484641640869</v>
      </c>
      <c r="T37" s="10">
        <f t="shared" si="7"/>
        <v>2451.5109510633451</v>
      </c>
      <c r="V37">
        <f t="shared" si="25"/>
        <v>3</v>
      </c>
      <c r="W37" s="10">
        <f t="shared" si="26"/>
        <v>77798.422411705222</v>
      </c>
      <c r="X37" s="10">
        <f>IF(OR(W37&lt;=0,V37&gt;Financiamento_EV!$C$7),0,W37*Financiamento_EV!$C$9)</f>
        <v>0</v>
      </c>
      <c r="Y37" s="10">
        <f t="shared" si="8"/>
        <v>77798.422411705222</v>
      </c>
      <c r="Z37" s="10">
        <f>IF(Y37&lt;=0,0,Y37*Financiamento_EV!$C$6)</f>
        <v>1322.5731809989888</v>
      </c>
      <c r="AA37" s="10">
        <f>IF(Y37&lt;=0,0,IF(Financiamento_EV!$C$6=0,Y37/(Financiamento_EV!$C$7-V37+1),Y37*Financiamento_EV!$C$6/(1-(1+Financiamento_EV!$C$6)^(-(Financiamento_EV!$C$7-V37+1)))))</f>
        <v>2451.5109510633451</v>
      </c>
      <c r="AB37" s="10">
        <f t="shared" si="9"/>
        <v>1128.9377700643563</v>
      </c>
      <c r="AC37" s="10">
        <f>IF(Y37&lt;=0,0,MIN(IF(ISNUMBER(INDEX(Financiamento_EV!$I$17:$I$136,V37)),MAX(0,INDEX(Financiamento_EV!$I$17:$I$136,V37)),IF(V37&gt;=Financiamento_EV!$C$11,Financiamento_EV!$C$10,0)),MAX(0,Y37-AB37)))</f>
        <v>0</v>
      </c>
      <c r="AD37" s="10">
        <f>IF(OR(Y37&lt;=0,V37&lt;Financiamento_EV!$C$11),0,MIN(MAX(0,Financiamento_EV!$F$5-AA37),MAX(0,Y37-AB37-AC37)))</f>
        <v>9.0949470177292824E-13</v>
      </c>
      <c r="AE37" s="10">
        <f t="shared" si="10"/>
        <v>2451.5109510633461</v>
      </c>
      <c r="AF37" s="10">
        <f t="shared" si="11"/>
        <v>76669.484641640869</v>
      </c>
      <c r="AG37" s="10">
        <f t="shared" si="12"/>
        <v>9.0949470177292824E-13</v>
      </c>
      <c r="AI37">
        <f t="shared" si="13"/>
        <v>3</v>
      </c>
      <c r="AJ37">
        <f t="shared" si="14"/>
        <v>76669.484641640869</v>
      </c>
      <c r="AK37">
        <f t="shared" si="15"/>
        <v>76669.484641640869</v>
      </c>
      <c r="AL37">
        <f t="shared" si="16"/>
        <v>76669.484641640869</v>
      </c>
      <c r="AM37">
        <f t="shared" si="17"/>
        <v>3</v>
      </c>
      <c r="AN37">
        <f t="shared" si="18"/>
        <v>2451.5109510633451</v>
      </c>
      <c r="AO37">
        <f t="shared" si="19"/>
        <v>2451.5109510633451</v>
      </c>
      <c r="AP37">
        <f t="shared" si="20"/>
        <v>2451.5109510633461</v>
      </c>
    </row>
    <row r="38" spans="1:42">
      <c r="A38">
        <f t="shared" si="21"/>
        <v>4</v>
      </c>
      <c r="B38" s="10">
        <f t="shared" si="22"/>
        <v>76669.484641640869</v>
      </c>
      <c r="C38" s="10">
        <f>IF(OR(B38&lt;=0,A38&gt;Financiamento_EV!$C$7),0,B38*Financiamento_EV!$C$9)</f>
        <v>0</v>
      </c>
      <c r="D38" s="10">
        <f t="shared" si="0"/>
        <v>76669.484641640869</v>
      </c>
      <c r="E38" s="10">
        <f>IF(D38&lt;=0,0,D38*Financiamento_EV!$C$6)</f>
        <v>1303.3812389078948</v>
      </c>
      <c r="F38" s="10">
        <f>IF(D38&lt;=0,0,IF(Financiamento_EV!$C$6=0,D38/(Financiamento_EV!$C$7-A38+1),D38*Financiamento_EV!$C$6/(1-(1+Financiamento_EV!$C$6)^(-(Financiamento_EV!$C$7-A38+1)))))</f>
        <v>2451.5109510633456</v>
      </c>
      <c r="G38" s="10">
        <f t="shared" si="1"/>
        <v>1148.1297121554508</v>
      </c>
      <c r="H38" s="10">
        <f t="shared" si="2"/>
        <v>75521.354929485417</v>
      </c>
      <c r="I38" s="10">
        <f t="shared" si="3"/>
        <v>2451.5109510633456</v>
      </c>
      <c r="K38">
        <f t="shared" si="23"/>
        <v>4</v>
      </c>
      <c r="L38" s="10">
        <f t="shared" si="24"/>
        <v>76669.484641640869</v>
      </c>
      <c r="M38" s="10">
        <f>IF(OR(L38&lt;=0,K38&gt;Financiamento_EV!$C$7),0,L38*Financiamento_EV!$C$9)</f>
        <v>0</v>
      </c>
      <c r="N38" s="10">
        <f t="shared" si="4"/>
        <v>76669.484641640869</v>
      </c>
      <c r="O38" s="10">
        <f>IF(N38&lt;=0,0,N38*Financiamento_EV!$C$6)</f>
        <v>1303.3812389078948</v>
      </c>
      <c r="P38" s="10">
        <f>IF(N38&lt;=0,0,IF(Financiamento_EV!$C$6=0,N38/(Financiamento_EV!$C$7-K38+1),N38*Financiamento_EV!$C$6/(1-(1+Financiamento_EV!$C$6)^(-(Financiamento_EV!$C$7-K38+1)))))</f>
        <v>2451.5109510633456</v>
      </c>
      <c r="Q38" s="10">
        <f t="shared" si="5"/>
        <v>1148.1297121554508</v>
      </c>
      <c r="R38" s="10">
        <f>IF(N38&lt;=0,0,MIN(IF(ISNUMBER(INDEX(Financiamento_EV!$I$17:$I$136,K38)),MAX(0,INDEX(Financiamento_EV!$I$17:$I$136,K38)),IF(K38&gt;=Financiamento_EV!$C$11,Financiamento_EV!$C$10,0)),MAX(0,N38-Q38)))</f>
        <v>0</v>
      </c>
      <c r="S38" s="10">
        <f t="shared" si="6"/>
        <v>75521.354929485417</v>
      </c>
      <c r="T38" s="10">
        <f t="shared" si="7"/>
        <v>2451.5109510633456</v>
      </c>
      <c r="V38">
        <f t="shared" si="25"/>
        <v>4</v>
      </c>
      <c r="W38" s="10">
        <f t="shared" si="26"/>
        <v>76669.484641640869</v>
      </c>
      <c r="X38" s="10">
        <f>IF(OR(W38&lt;=0,V38&gt;Financiamento_EV!$C$7),0,W38*Financiamento_EV!$C$9)</f>
        <v>0</v>
      </c>
      <c r="Y38" s="10">
        <f t="shared" si="8"/>
        <v>76669.484641640869</v>
      </c>
      <c r="Z38" s="10">
        <f>IF(Y38&lt;=0,0,Y38*Financiamento_EV!$C$6)</f>
        <v>1303.3812389078948</v>
      </c>
      <c r="AA38" s="10">
        <f>IF(Y38&lt;=0,0,IF(Financiamento_EV!$C$6=0,Y38/(Financiamento_EV!$C$7-V38+1),Y38*Financiamento_EV!$C$6/(1-(1+Financiamento_EV!$C$6)^(-(Financiamento_EV!$C$7-V38+1)))))</f>
        <v>2451.5109510633456</v>
      </c>
      <c r="AB38" s="10">
        <f t="shared" si="9"/>
        <v>1148.1297121554508</v>
      </c>
      <c r="AC38" s="10">
        <f>IF(Y38&lt;=0,0,MIN(IF(ISNUMBER(INDEX(Financiamento_EV!$I$17:$I$136,V38)),MAX(0,INDEX(Financiamento_EV!$I$17:$I$136,V38)),IF(V38&gt;=Financiamento_EV!$C$11,Financiamento_EV!$C$10,0)),MAX(0,Y38-AB38)))</f>
        <v>0</v>
      </c>
      <c r="AD38" s="10">
        <f>IF(OR(Y38&lt;=0,V38&lt;Financiamento_EV!$C$11),0,MIN(MAX(0,Financiamento_EV!$F$5-AA38),MAX(0,Y38-AB38-AC38)))</f>
        <v>4.5474735088646412E-13</v>
      </c>
      <c r="AE38" s="10">
        <f t="shared" si="10"/>
        <v>2451.5109510633461</v>
      </c>
      <c r="AF38" s="10">
        <f t="shared" si="11"/>
        <v>75521.354929485417</v>
      </c>
      <c r="AG38" s="10">
        <f t="shared" si="12"/>
        <v>4.5474735088646412E-13</v>
      </c>
      <c r="AI38">
        <f t="shared" si="13"/>
        <v>4</v>
      </c>
      <c r="AJ38">
        <f t="shared" si="14"/>
        <v>75521.354929485417</v>
      </c>
      <c r="AK38">
        <f t="shared" si="15"/>
        <v>75521.354929485417</v>
      </c>
      <c r="AL38">
        <f t="shared" si="16"/>
        <v>75521.354929485417</v>
      </c>
      <c r="AM38">
        <f t="shared" si="17"/>
        <v>4</v>
      </c>
      <c r="AN38">
        <f t="shared" si="18"/>
        <v>2451.5109510633456</v>
      </c>
      <c r="AO38">
        <f t="shared" si="19"/>
        <v>2451.5109510633456</v>
      </c>
      <c r="AP38">
        <f t="shared" si="20"/>
        <v>2451.5109510633461</v>
      </c>
    </row>
    <row r="39" spans="1:42">
      <c r="A39">
        <f t="shared" si="21"/>
        <v>5</v>
      </c>
      <c r="B39" s="10">
        <f t="shared" si="22"/>
        <v>75521.354929485417</v>
      </c>
      <c r="C39" s="10">
        <f>IF(OR(B39&lt;=0,A39&gt;Financiamento_EV!$C$7),0,B39*Financiamento_EV!$C$9)</f>
        <v>0</v>
      </c>
      <c r="D39" s="10">
        <f t="shared" si="0"/>
        <v>75521.354929485417</v>
      </c>
      <c r="E39" s="10">
        <f>IF(D39&lt;=0,0,D39*Financiamento_EV!$C$6)</f>
        <v>1283.8630338012522</v>
      </c>
      <c r="F39" s="10">
        <f>IF(D39&lt;=0,0,IF(Financiamento_EV!$C$6=0,D39/(Financiamento_EV!$C$7-A39+1),D39*Financiamento_EV!$C$6/(1-(1+Financiamento_EV!$C$6)^(-(Financiamento_EV!$C$7-A39+1)))))</f>
        <v>2451.5109510633451</v>
      </c>
      <c r="G39" s="10">
        <f t="shared" si="1"/>
        <v>1167.647917262093</v>
      </c>
      <c r="H39" s="10">
        <f t="shared" si="2"/>
        <v>74353.707012223327</v>
      </c>
      <c r="I39" s="10">
        <f t="shared" si="3"/>
        <v>2451.5109510633451</v>
      </c>
      <c r="K39">
        <f t="shared" si="23"/>
        <v>5</v>
      </c>
      <c r="L39" s="10">
        <f t="shared" si="24"/>
        <v>75521.354929485417</v>
      </c>
      <c r="M39" s="10">
        <f>IF(OR(L39&lt;=0,K39&gt;Financiamento_EV!$C$7),0,L39*Financiamento_EV!$C$9)</f>
        <v>0</v>
      </c>
      <c r="N39" s="10">
        <f t="shared" si="4"/>
        <v>75521.354929485417</v>
      </c>
      <c r="O39" s="10">
        <f>IF(N39&lt;=0,0,N39*Financiamento_EV!$C$6)</f>
        <v>1283.8630338012522</v>
      </c>
      <c r="P39" s="10">
        <f>IF(N39&lt;=0,0,IF(Financiamento_EV!$C$6=0,N39/(Financiamento_EV!$C$7-K39+1),N39*Financiamento_EV!$C$6/(1-(1+Financiamento_EV!$C$6)^(-(Financiamento_EV!$C$7-K39+1)))))</f>
        <v>2451.5109510633451</v>
      </c>
      <c r="Q39" s="10">
        <f t="shared" si="5"/>
        <v>1167.647917262093</v>
      </c>
      <c r="R39" s="10">
        <f>IF(N39&lt;=0,0,MIN(IF(ISNUMBER(INDEX(Financiamento_EV!$I$17:$I$136,K39)),MAX(0,INDEX(Financiamento_EV!$I$17:$I$136,K39)),IF(K39&gt;=Financiamento_EV!$C$11,Financiamento_EV!$C$10,0)),MAX(0,N39-Q39)))</f>
        <v>0</v>
      </c>
      <c r="S39" s="10">
        <f t="shared" si="6"/>
        <v>74353.707012223327</v>
      </c>
      <c r="T39" s="10">
        <f t="shared" si="7"/>
        <v>2451.5109510633451</v>
      </c>
      <c r="V39">
        <f t="shared" si="25"/>
        <v>5</v>
      </c>
      <c r="W39" s="10">
        <f t="shared" si="26"/>
        <v>75521.354929485417</v>
      </c>
      <c r="X39" s="10">
        <f>IF(OR(W39&lt;=0,V39&gt;Financiamento_EV!$C$7),0,W39*Financiamento_EV!$C$9)</f>
        <v>0</v>
      </c>
      <c r="Y39" s="10">
        <f t="shared" si="8"/>
        <v>75521.354929485417</v>
      </c>
      <c r="Z39" s="10">
        <f>IF(Y39&lt;=0,0,Y39*Financiamento_EV!$C$6)</f>
        <v>1283.8630338012522</v>
      </c>
      <c r="AA39" s="10">
        <f>IF(Y39&lt;=0,0,IF(Financiamento_EV!$C$6=0,Y39/(Financiamento_EV!$C$7-V39+1),Y39*Financiamento_EV!$C$6/(1-(1+Financiamento_EV!$C$6)^(-(Financiamento_EV!$C$7-V39+1)))))</f>
        <v>2451.5109510633451</v>
      </c>
      <c r="AB39" s="10">
        <f t="shared" si="9"/>
        <v>1167.647917262093</v>
      </c>
      <c r="AC39" s="10">
        <f>IF(Y39&lt;=0,0,MIN(IF(ISNUMBER(INDEX(Financiamento_EV!$I$17:$I$136,V39)),MAX(0,INDEX(Financiamento_EV!$I$17:$I$136,V39)),IF(V39&gt;=Financiamento_EV!$C$11,Financiamento_EV!$C$10,0)),MAX(0,Y39-AB39)))</f>
        <v>0</v>
      </c>
      <c r="AD39" s="10">
        <f>IF(OR(Y39&lt;=0,V39&lt;Financiamento_EV!$C$11),0,MIN(MAX(0,Financiamento_EV!$F$5-AA39),MAX(0,Y39-AB39-AC39)))</f>
        <v>9.0949470177292824E-13</v>
      </c>
      <c r="AE39" s="10">
        <f t="shared" si="10"/>
        <v>2451.5109510633461</v>
      </c>
      <c r="AF39" s="10">
        <f t="shared" si="11"/>
        <v>74353.707012223327</v>
      </c>
      <c r="AG39" s="10">
        <f t="shared" si="12"/>
        <v>9.0949470177292824E-13</v>
      </c>
      <c r="AI39">
        <f t="shared" si="13"/>
        <v>5</v>
      </c>
      <c r="AJ39">
        <f t="shared" si="14"/>
        <v>74353.707012223327</v>
      </c>
      <c r="AK39">
        <f t="shared" si="15"/>
        <v>74353.707012223327</v>
      </c>
      <c r="AL39">
        <f t="shared" si="16"/>
        <v>74353.707012223327</v>
      </c>
      <c r="AM39">
        <f t="shared" si="17"/>
        <v>5</v>
      </c>
      <c r="AN39">
        <f t="shared" si="18"/>
        <v>2451.5109510633451</v>
      </c>
      <c r="AO39">
        <f t="shared" si="19"/>
        <v>2451.5109510633451</v>
      </c>
      <c r="AP39">
        <f t="shared" si="20"/>
        <v>2451.5109510633461</v>
      </c>
    </row>
    <row r="40" spans="1:42">
      <c r="A40">
        <f t="shared" si="21"/>
        <v>6</v>
      </c>
      <c r="B40" s="10">
        <f t="shared" si="22"/>
        <v>74353.707012223327</v>
      </c>
      <c r="C40" s="10">
        <f>IF(OR(B40&lt;=0,A40&gt;Financiamento_EV!$C$7),0,B40*Financiamento_EV!$C$9)</f>
        <v>0</v>
      </c>
      <c r="D40" s="10">
        <f t="shared" si="0"/>
        <v>74353.707012223327</v>
      </c>
      <c r="E40" s="10">
        <f>IF(D40&lt;=0,0,D40*Financiamento_EV!$C$6)</f>
        <v>1264.0130192077966</v>
      </c>
      <c r="F40" s="10">
        <f>IF(D40&lt;=0,0,IF(Financiamento_EV!$C$6=0,D40/(Financiamento_EV!$C$7-A40+1),D40*Financiamento_EV!$C$6/(1-(1+Financiamento_EV!$C$6)^(-(Financiamento_EV!$C$7-A40+1)))))</f>
        <v>2451.5109510633451</v>
      </c>
      <c r="G40" s="10">
        <f t="shared" si="1"/>
        <v>1187.4979318555486</v>
      </c>
      <c r="H40" s="10">
        <f t="shared" si="2"/>
        <v>73166.209080367786</v>
      </c>
      <c r="I40" s="10">
        <f t="shared" si="3"/>
        <v>2451.5109510633451</v>
      </c>
      <c r="K40">
        <f t="shared" si="23"/>
        <v>6</v>
      </c>
      <c r="L40" s="10">
        <f t="shared" si="24"/>
        <v>74353.707012223327</v>
      </c>
      <c r="M40" s="10">
        <f>IF(OR(L40&lt;=0,K40&gt;Financiamento_EV!$C$7),0,L40*Financiamento_EV!$C$9)</f>
        <v>0</v>
      </c>
      <c r="N40" s="10">
        <f t="shared" si="4"/>
        <v>74353.707012223327</v>
      </c>
      <c r="O40" s="10">
        <f>IF(N40&lt;=0,0,N40*Financiamento_EV!$C$6)</f>
        <v>1264.0130192077966</v>
      </c>
      <c r="P40" s="10">
        <f>IF(N40&lt;=0,0,IF(Financiamento_EV!$C$6=0,N40/(Financiamento_EV!$C$7-K40+1),N40*Financiamento_EV!$C$6/(1-(1+Financiamento_EV!$C$6)^(-(Financiamento_EV!$C$7-K40+1)))))</f>
        <v>2451.5109510633451</v>
      </c>
      <c r="Q40" s="10">
        <f t="shared" si="5"/>
        <v>1187.4979318555486</v>
      </c>
      <c r="R40" s="10">
        <f>IF(N40&lt;=0,0,MIN(IF(ISNUMBER(INDEX(Financiamento_EV!$I$17:$I$136,K40)),MAX(0,INDEX(Financiamento_EV!$I$17:$I$136,K40)),IF(K40&gt;=Financiamento_EV!$C$11,Financiamento_EV!$C$10,0)),MAX(0,N40-Q40)))</f>
        <v>0</v>
      </c>
      <c r="S40" s="10">
        <f t="shared" si="6"/>
        <v>73166.209080367786</v>
      </c>
      <c r="T40" s="10">
        <f t="shared" si="7"/>
        <v>2451.5109510633451</v>
      </c>
      <c r="V40">
        <f t="shared" si="25"/>
        <v>6</v>
      </c>
      <c r="W40" s="10">
        <f t="shared" si="26"/>
        <v>74353.707012223327</v>
      </c>
      <c r="X40" s="10">
        <f>IF(OR(W40&lt;=0,V40&gt;Financiamento_EV!$C$7),0,W40*Financiamento_EV!$C$9)</f>
        <v>0</v>
      </c>
      <c r="Y40" s="10">
        <f t="shared" si="8"/>
        <v>74353.707012223327</v>
      </c>
      <c r="Z40" s="10">
        <f>IF(Y40&lt;=0,0,Y40*Financiamento_EV!$C$6)</f>
        <v>1264.0130192077966</v>
      </c>
      <c r="AA40" s="10">
        <f>IF(Y40&lt;=0,0,IF(Financiamento_EV!$C$6=0,Y40/(Financiamento_EV!$C$7-V40+1),Y40*Financiamento_EV!$C$6/(1-(1+Financiamento_EV!$C$6)^(-(Financiamento_EV!$C$7-V40+1)))))</f>
        <v>2451.5109510633451</v>
      </c>
      <c r="AB40" s="10">
        <f t="shared" si="9"/>
        <v>1187.4979318555486</v>
      </c>
      <c r="AC40" s="10">
        <f>IF(Y40&lt;=0,0,MIN(IF(ISNUMBER(INDEX(Financiamento_EV!$I$17:$I$136,V40)),MAX(0,INDEX(Financiamento_EV!$I$17:$I$136,V40)),IF(V40&gt;=Financiamento_EV!$C$11,Financiamento_EV!$C$10,0)),MAX(0,Y40-AB40)))</f>
        <v>0</v>
      </c>
      <c r="AD40" s="10">
        <f>IF(OR(Y40&lt;=0,V40&lt;Financiamento_EV!$C$11),0,MIN(MAX(0,Financiamento_EV!$F$5-AA40),MAX(0,Y40-AB40-AC40)))</f>
        <v>9.0949470177292824E-13</v>
      </c>
      <c r="AE40" s="10">
        <f t="shared" si="10"/>
        <v>2451.5109510633461</v>
      </c>
      <c r="AF40" s="10">
        <f t="shared" si="11"/>
        <v>73166.209080367786</v>
      </c>
      <c r="AG40" s="10">
        <f t="shared" si="12"/>
        <v>9.0949470177292824E-13</v>
      </c>
      <c r="AI40">
        <f t="shared" si="13"/>
        <v>6</v>
      </c>
      <c r="AJ40">
        <f t="shared" si="14"/>
        <v>73166.209080367786</v>
      </c>
      <c r="AK40">
        <f t="shared" si="15"/>
        <v>73166.209080367786</v>
      </c>
      <c r="AL40">
        <f t="shared" si="16"/>
        <v>73166.209080367786</v>
      </c>
      <c r="AM40">
        <f t="shared" si="17"/>
        <v>6</v>
      </c>
      <c r="AN40">
        <f t="shared" si="18"/>
        <v>2451.5109510633451</v>
      </c>
      <c r="AO40">
        <f t="shared" si="19"/>
        <v>2451.5109510633451</v>
      </c>
      <c r="AP40">
        <f t="shared" si="20"/>
        <v>2451.5109510633461</v>
      </c>
    </row>
    <row r="41" spans="1:42">
      <c r="A41">
        <f t="shared" si="21"/>
        <v>7</v>
      </c>
      <c r="B41" s="10">
        <f t="shared" si="22"/>
        <v>73166.209080367786</v>
      </c>
      <c r="C41" s="10">
        <f>IF(OR(B41&lt;=0,A41&gt;Financiamento_EV!$C$7),0,B41*Financiamento_EV!$C$9)</f>
        <v>0</v>
      </c>
      <c r="D41" s="10">
        <f t="shared" si="0"/>
        <v>73166.209080367786</v>
      </c>
      <c r="E41" s="10">
        <f>IF(D41&lt;=0,0,D41*Financiamento_EV!$C$6)</f>
        <v>1243.8255543662524</v>
      </c>
      <c r="F41" s="10">
        <f>IF(D41&lt;=0,0,IF(Financiamento_EV!$C$6=0,D41/(Financiamento_EV!$C$7-A41+1),D41*Financiamento_EV!$C$6/(1-(1+Financiamento_EV!$C$6)^(-(Financiamento_EV!$C$7-A41+1)))))</f>
        <v>2451.5109510633451</v>
      </c>
      <c r="G41" s="10">
        <f t="shared" si="1"/>
        <v>1207.6853966970928</v>
      </c>
      <c r="H41" s="10">
        <f t="shared" si="2"/>
        <v>71958.52368367069</v>
      </c>
      <c r="I41" s="10">
        <f t="shared" si="3"/>
        <v>2451.5109510633451</v>
      </c>
      <c r="K41">
        <f t="shared" si="23"/>
        <v>7</v>
      </c>
      <c r="L41" s="10">
        <f t="shared" si="24"/>
        <v>73166.209080367786</v>
      </c>
      <c r="M41" s="10">
        <f>IF(OR(L41&lt;=0,K41&gt;Financiamento_EV!$C$7),0,L41*Financiamento_EV!$C$9)</f>
        <v>0</v>
      </c>
      <c r="N41" s="10">
        <f t="shared" si="4"/>
        <v>73166.209080367786</v>
      </c>
      <c r="O41" s="10">
        <f>IF(N41&lt;=0,0,N41*Financiamento_EV!$C$6)</f>
        <v>1243.8255543662524</v>
      </c>
      <c r="P41" s="10">
        <f>IF(N41&lt;=0,0,IF(Financiamento_EV!$C$6=0,N41/(Financiamento_EV!$C$7-K41+1),N41*Financiamento_EV!$C$6/(1-(1+Financiamento_EV!$C$6)^(-(Financiamento_EV!$C$7-K41+1)))))</f>
        <v>2451.5109510633451</v>
      </c>
      <c r="Q41" s="10">
        <f t="shared" si="5"/>
        <v>1207.6853966970928</v>
      </c>
      <c r="R41" s="10">
        <f>IF(N41&lt;=0,0,MIN(IF(ISNUMBER(INDEX(Financiamento_EV!$I$17:$I$136,K41)),MAX(0,INDEX(Financiamento_EV!$I$17:$I$136,K41)),IF(K41&gt;=Financiamento_EV!$C$11,Financiamento_EV!$C$10,0)),MAX(0,N41-Q41)))</f>
        <v>0</v>
      </c>
      <c r="S41" s="10">
        <f t="shared" si="6"/>
        <v>71958.52368367069</v>
      </c>
      <c r="T41" s="10">
        <f t="shared" si="7"/>
        <v>2451.5109510633451</v>
      </c>
      <c r="V41">
        <f t="shared" si="25"/>
        <v>7</v>
      </c>
      <c r="W41" s="10">
        <f t="shared" si="26"/>
        <v>73166.209080367786</v>
      </c>
      <c r="X41" s="10">
        <f>IF(OR(W41&lt;=0,V41&gt;Financiamento_EV!$C$7),0,W41*Financiamento_EV!$C$9)</f>
        <v>0</v>
      </c>
      <c r="Y41" s="10">
        <f t="shared" si="8"/>
        <v>73166.209080367786</v>
      </c>
      <c r="Z41" s="10">
        <f>IF(Y41&lt;=0,0,Y41*Financiamento_EV!$C$6)</f>
        <v>1243.8255543662524</v>
      </c>
      <c r="AA41" s="10">
        <f>IF(Y41&lt;=0,0,IF(Financiamento_EV!$C$6=0,Y41/(Financiamento_EV!$C$7-V41+1),Y41*Financiamento_EV!$C$6/(1-(1+Financiamento_EV!$C$6)^(-(Financiamento_EV!$C$7-V41+1)))))</f>
        <v>2451.5109510633451</v>
      </c>
      <c r="AB41" s="10">
        <f t="shared" si="9"/>
        <v>1207.6853966970928</v>
      </c>
      <c r="AC41" s="10">
        <f>IF(Y41&lt;=0,0,MIN(IF(ISNUMBER(INDEX(Financiamento_EV!$I$17:$I$136,V41)),MAX(0,INDEX(Financiamento_EV!$I$17:$I$136,V41)),IF(V41&gt;=Financiamento_EV!$C$11,Financiamento_EV!$C$10,0)),MAX(0,Y41-AB41)))</f>
        <v>0</v>
      </c>
      <c r="AD41" s="10">
        <f>IF(OR(Y41&lt;=0,V41&lt;Financiamento_EV!$C$11),0,MIN(MAX(0,Financiamento_EV!$F$5-AA41),MAX(0,Y41-AB41-AC41)))</f>
        <v>9.0949470177292824E-13</v>
      </c>
      <c r="AE41" s="10">
        <f t="shared" si="10"/>
        <v>2451.5109510633461</v>
      </c>
      <c r="AF41" s="10">
        <f t="shared" si="11"/>
        <v>71958.52368367069</v>
      </c>
      <c r="AG41" s="10">
        <f t="shared" si="12"/>
        <v>9.0949470177292824E-13</v>
      </c>
      <c r="AI41">
        <f t="shared" si="13"/>
        <v>7</v>
      </c>
      <c r="AJ41">
        <f t="shared" si="14"/>
        <v>71958.52368367069</v>
      </c>
      <c r="AK41">
        <f t="shared" si="15"/>
        <v>71958.52368367069</v>
      </c>
      <c r="AL41">
        <f t="shared" si="16"/>
        <v>71958.52368367069</v>
      </c>
      <c r="AM41">
        <f t="shared" si="17"/>
        <v>7</v>
      </c>
      <c r="AN41">
        <f t="shared" si="18"/>
        <v>2451.5109510633451</v>
      </c>
      <c r="AO41">
        <f t="shared" si="19"/>
        <v>2451.5109510633451</v>
      </c>
      <c r="AP41">
        <f t="shared" si="20"/>
        <v>2451.5109510633461</v>
      </c>
    </row>
    <row r="42" spans="1:42">
      <c r="A42">
        <f t="shared" si="21"/>
        <v>8</v>
      </c>
      <c r="B42" s="10">
        <f t="shared" si="22"/>
        <v>71958.52368367069</v>
      </c>
      <c r="C42" s="10">
        <f>IF(OR(B42&lt;=0,A42&gt;Financiamento_EV!$C$7),0,B42*Financiamento_EV!$C$9)</f>
        <v>0</v>
      </c>
      <c r="D42" s="10">
        <f t="shared" si="0"/>
        <v>71958.52368367069</v>
      </c>
      <c r="E42" s="10">
        <f>IF(D42&lt;=0,0,D42*Financiamento_EV!$C$6)</f>
        <v>1223.2949026224019</v>
      </c>
      <c r="F42" s="10">
        <f>IF(D42&lt;=0,0,IF(Financiamento_EV!$C$6=0,D42/(Financiamento_EV!$C$7-A42+1),D42*Financiamento_EV!$C$6/(1-(1+Financiamento_EV!$C$6)^(-(Financiamento_EV!$C$7-A42+1)))))</f>
        <v>2451.5109510633451</v>
      </c>
      <c r="G42" s="10">
        <f t="shared" si="1"/>
        <v>1228.2160484409433</v>
      </c>
      <c r="H42" s="10">
        <f t="shared" si="2"/>
        <v>70730.30763522975</v>
      </c>
      <c r="I42" s="10">
        <f t="shared" si="3"/>
        <v>2451.5109510633451</v>
      </c>
      <c r="K42">
        <f t="shared" si="23"/>
        <v>8</v>
      </c>
      <c r="L42" s="10">
        <f t="shared" si="24"/>
        <v>71958.52368367069</v>
      </c>
      <c r="M42" s="10">
        <f>IF(OR(L42&lt;=0,K42&gt;Financiamento_EV!$C$7),0,L42*Financiamento_EV!$C$9)</f>
        <v>0</v>
      </c>
      <c r="N42" s="10">
        <f t="shared" si="4"/>
        <v>71958.52368367069</v>
      </c>
      <c r="O42" s="10">
        <f>IF(N42&lt;=0,0,N42*Financiamento_EV!$C$6)</f>
        <v>1223.2949026224019</v>
      </c>
      <c r="P42" s="10">
        <f>IF(N42&lt;=0,0,IF(Financiamento_EV!$C$6=0,N42/(Financiamento_EV!$C$7-K42+1),N42*Financiamento_EV!$C$6/(1-(1+Financiamento_EV!$C$6)^(-(Financiamento_EV!$C$7-K42+1)))))</f>
        <v>2451.5109510633451</v>
      </c>
      <c r="Q42" s="10">
        <f t="shared" si="5"/>
        <v>1228.2160484409433</v>
      </c>
      <c r="R42" s="10">
        <f>IF(N42&lt;=0,0,MIN(IF(ISNUMBER(INDEX(Financiamento_EV!$I$17:$I$136,K42)),MAX(0,INDEX(Financiamento_EV!$I$17:$I$136,K42)),IF(K42&gt;=Financiamento_EV!$C$11,Financiamento_EV!$C$10,0)),MAX(0,N42-Q42)))</f>
        <v>0</v>
      </c>
      <c r="S42" s="10">
        <f t="shared" si="6"/>
        <v>70730.30763522975</v>
      </c>
      <c r="T42" s="10">
        <f t="shared" si="7"/>
        <v>2451.5109510633451</v>
      </c>
      <c r="V42">
        <f t="shared" si="25"/>
        <v>8</v>
      </c>
      <c r="W42" s="10">
        <f t="shared" si="26"/>
        <v>71958.52368367069</v>
      </c>
      <c r="X42" s="10">
        <f>IF(OR(W42&lt;=0,V42&gt;Financiamento_EV!$C$7),0,W42*Financiamento_EV!$C$9)</f>
        <v>0</v>
      </c>
      <c r="Y42" s="10">
        <f t="shared" si="8"/>
        <v>71958.52368367069</v>
      </c>
      <c r="Z42" s="10">
        <f>IF(Y42&lt;=0,0,Y42*Financiamento_EV!$C$6)</f>
        <v>1223.2949026224019</v>
      </c>
      <c r="AA42" s="10">
        <f>IF(Y42&lt;=0,0,IF(Financiamento_EV!$C$6=0,Y42/(Financiamento_EV!$C$7-V42+1),Y42*Financiamento_EV!$C$6/(1-(1+Financiamento_EV!$C$6)^(-(Financiamento_EV!$C$7-V42+1)))))</f>
        <v>2451.5109510633451</v>
      </c>
      <c r="AB42" s="10">
        <f t="shared" si="9"/>
        <v>1228.2160484409433</v>
      </c>
      <c r="AC42" s="10">
        <f>IF(Y42&lt;=0,0,MIN(IF(ISNUMBER(INDEX(Financiamento_EV!$I$17:$I$136,V42)),MAX(0,INDEX(Financiamento_EV!$I$17:$I$136,V42)),IF(V42&gt;=Financiamento_EV!$C$11,Financiamento_EV!$C$10,0)),MAX(0,Y42-AB42)))</f>
        <v>0</v>
      </c>
      <c r="AD42" s="10">
        <f>IF(OR(Y42&lt;=0,V42&lt;Financiamento_EV!$C$11),0,MIN(MAX(0,Financiamento_EV!$F$5-AA42),MAX(0,Y42-AB42-AC42)))</f>
        <v>9.0949470177292824E-13</v>
      </c>
      <c r="AE42" s="10">
        <f t="shared" si="10"/>
        <v>2451.5109510633461</v>
      </c>
      <c r="AF42" s="10">
        <f t="shared" si="11"/>
        <v>70730.30763522975</v>
      </c>
      <c r="AG42" s="10">
        <f t="shared" si="12"/>
        <v>9.0949470177292824E-13</v>
      </c>
      <c r="AI42">
        <f t="shared" si="13"/>
        <v>8</v>
      </c>
      <c r="AJ42">
        <f t="shared" si="14"/>
        <v>70730.30763522975</v>
      </c>
      <c r="AK42">
        <f t="shared" si="15"/>
        <v>70730.30763522975</v>
      </c>
      <c r="AL42">
        <f t="shared" si="16"/>
        <v>70730.30763522975</v>
      </c>
      <c r="AM42">
        <f t="shared" si="17"/>
        <v>8</v>
      </c>
      <c r="AN42">
        <f t="shared" si="18"/>
        <v>2451.5109510633451</v>
      </c>
      <c r="AO42">
        <f t="shared" si="19"/>
        <v>2451.5109510633451</v>
      </c>
      <c r="AP42">
        <f t="shared" si="20"/>
        <v>2451.5109510633461</v>
      </c>
    </row>
    <row r="43" spans="1:42">
      <c r="A43">
        <f t="shared" si="21"/>
        <v>9</v>
      </c>
      <c r="B43" s="10">
        <f t="shared" si="22"/>
        <v>70730.30763522975</v>
      </c>
      <c r="C43" s="10">
        <f>IF(OR(B43&lt;=0,A43&gt;Financiamento_EV!$C$7),0,B43*Financiamento_EV!$C$9)</f>
        <v>0</v>
      </c>
      <c r="D43" s="10">
        <f t="shared" si="0"/>
        <v>70730.30763522975</v>
      </c>
      <c r="E43" s="10">
        <f>IF(D43&lt;=0,0,D43*Financiamento_EV!$C$6)</f>
        <v>1202.4152297989058</v>
      </c>
      <c r="F43" s="10">
        <f>IF(D43&lt;=0,0,IF(Financiamento_EV!$C$6=0,D43/(Financiamento_EV!$C$7-A43+1),D43*Financiamento_EV!$C$6/(1-(1+Financiamento_EV!$C$6)^(-(Financiamento_EV!$C$7-A43+1)))))</f>
        <v>2451.5109510633447</v>
      </c>
      <c r="G43" s="10">
        <f t="shared" si="1"/>
        <v>1249.0957212644389</v>
      </c>
      <c r="H43" s="10">
        <f t="shared" si="2"/>
        <v>69481.211913965308</v>
      </c>
      <c r="I43" s="10">
        <f t="shared" si="3"/>
        <v>2451.5109510633447</v>
      </c>
      <c r="K43">
        <f t="shared" si="23"/>
        <v>9</v>
      </c>
      <c r="L43" s="10">
        <f t="shared" si="24"/>
        <v>70730.30763522975</v>
      </c>
      <c r="M43" s="10">
        <f>IF(OR(L43&lt;=0,K43&gt;Financiamento_EV!$C$7),0,L43*Financiamento_EV!$C$9)</f>
        <v>0</v>
      </c>
      <c r="N43" s="10">
        <f t="shared" si="4"/>
        <v>70730.30763522975</v>
      </c>
      <c r="O43" s="10">
        <f>IF(N43&lt;=0,0,N43*Financiamento_EV!$C$6)</f>
        <v>1202.4152297989058</v>
      </c>
      <c r="P43" s="10">
        <f>IF(N43&lt;=0,0,IF(Financiamento_EV!$C$6=0,N43/(Financiamento_EV!$C$7-K43+1),N43*Financiamento_EV!$C$6/(1-(1+Financiamento_EV!$C$6)^(-(Financiamento_EV!$C$7-K43+1)))))</f>
        <v>2451.5109510633447</v>
      </c>
      <c r="Q43" s="10">
        <f t="shared" si="5"/>
        <v>1249.0957212644389</v>
      </c>
      <c r="R43" s="10">
        <f>IF(N43&lt;=0,0,MIN(IF(ISNUMBER(INDEX(Financiamento_EV!$I$17:$I$136,K43)),MAX(0,INDEX(Financiamento_EV!$I$17:$I$136,K43)),IF(K43&gt;=Financiamento_EV!$C$11,Financiamento_EV!$C$10,0)),MAX(0,N43-Q43)))</f>
        <v>0</v>
      </c>
      <c r="S43" s="10">
        <f t="shared" si="6"/>
        <v>69481.211913965308</v>
      </c>
      <c r="T43" s="10">
        <f t="shared" si="7"/>
        <v>2451.5109510633447</v>
      </c>
      <c r="V43">
        <f t="shared" si="25"/>
        <v>9</v>
      </c>
      <c r="W43" s="10">
        <f t="shared" si="26"/>
        <v>70730.30763522975</v>
      </c>
      <c r="X43" s="10">
        <f>IF(OR(W43&lt;=0,V43&gt;Financiamento_EV!$C$7),0,W43*Financiamento_EV!$C$9)</f>
        <v>0</v>
      </c>
      <c r="Y43" s="10">
        <f t="shared" si="8"/>
        <v>70730.30763522975</v>
      </c>
      <c r="Z43" s="10">
        <f>IF(Y43&lt;=0,0,Y43*Financiamento_EV!$C$6)</f>
        <v>1202.4152297989058</v>
      </c>
      <c r="AA43" s="10">
        <f>IF(Y43&lt;=0,0,IF(Financiamento_EV!$C$6=0,Y43/(Financiamento_EV!$C$7-V43+1),Y43*Financiamento_EV!$C$6/(1-(1+Financiamento_EV!$C$6)^(-(Financiamento_EV!$C$7-V43+1)))))</f>
        <v>2451.5109510633447</v>
      </c>
      <c r="AB43" s="10">
        <f t="shared" si="9"/>
        <v>1249.0957212644389</v>
      </c>
      <c r="AC43" s="10">
        <f>IF(Y43&lt;=0,0,MIN(IF(ISNUMBER(INDEX(Financiamento_EV!$I$17:$I$136,V43)),MAX(0,INDEX(Financiamento_EV!$I$17:$I$136,V43)),IF(V43&gt;=Financiamento_EV!$C$11,Financiamento_EV!$C$10,0)),MAX(0,Y43-AB43)))</f>
        <v>0</v>
      </c>
      <c r="AD43" s="10">
        <f>IF(OR(Y43&lt;=0,V43&lt;Financiamento_EV!$C$11),0,MIN(MAX(0,Financiamento_EV!$F$5-AA43),MAX(0,Y43-AB43-AC43)))</f>
        <v>1.3642420526593924E-12</v>
      </c>
      <c r="AE43" s="10">
        <f t="shared" si="10"/>
        <v>2451.5109510633461</v>
      </c>
      <c r="AF43" s="10">
        <f t="shared" si="11"/>
        <v>69481.211913965308</v>
      </c>
      <c r="AG43" s="10">
        <f t="shared" si="12"/>
        <v>1.3642420526593924E-12</v>
      </c>
      <c r="AI43">
        <f t="shared" si="13"/>
        <v>9</v>
      </c>
      <c r="AJ43">
        <f t="shared" si="14"/>
        <v>69481.211913965308</v>
      </c>
      <c r="AK43">
        <f t="shared" si="15"/>
        <v>69481.211913965308</v>
      </c>
      <c r="AL43">
        <f t="shared" si="16"/>
        <v>69481.211913965308</v>
      </c>
      <c r="AM43">
        <f t="shared" si="17"/>
        <v>9</v>
      </c>
      <c r="AN43">
        <f t="shared" si="18"/>
        <v>2451.5109510633447</v>
      </c>
      <c r="AO43">
        <f t="shared" si="19"/>
        <v>2451.5109510633447</v>
      </c>
      <c r="AP43">
        <f t="shared" si="20"/>
        <v>2451.5109510633461</v>
      </c>
    </row>
    <row r="44" spans="1:42">
      <c r="A44">
        <f t="shared" si="21"/>
        <v>10</v>
      </c>
      <c r="B44" s="10">
        <f t="shared" si="22"/>
        <v>69481.211913965308</v>
      </c>
      <c r="C44" s="10">
        <f>IF(OR(B44&lt;=0,A44&gt;Financiamento_EV!$C$7),0,B44*Financiamento_EV!$C$9)</f>
        <v>0</v>
      </c>
      <c r="D44" s="10">
        <f t="shared" si="0"/>
        <v>69481.211913965308</v>
      </c>
      <c r="E44" s="10">
        <f>IF(D44&lt;=0,0,D44*Financiamento_EV!$C$6)</f>
        <v>1181.1806025374103</v>
      </c>
      <c r="F44" s="10">
        <f>IF(D44&lt;=0,0,IF(Financiamento_EV!$C$6=0,D44/(Financiamento_EV!$C$7-A44+1),D44*Financiamento_EV!$C$6/(1-(1+Financiamento_EV!$C$6)^(-(Financiamento_EV!$C$7-A44+1)))))</f>
        <v>2451.5109510633447</v>
      </c>
      <c r="G44" s="10">
        <f t="shared" si="1"/>
        <v>1270.3303485259344</v>
      </c>
      <c r="H44" s="10">
        <f t="shared" si="2"/>
        <v>68210.881565439369</v>
      </c>
      <c r="I44" s="10">
        <f t="shared" si="3"/>
        <v>2451.5109510633447</v>
      </c>
      <c r="K44">
        <f t="shared" si="23"/>
        <v>10</v>
      </c>
      <c r="L44" s="10">
        <f t="shared" si="24"/>
        <v>69481.211913965308</v>
      </c>
      <c r="M44" s="10">
        <f>IF(OR(L44&lt;=0,K44&gt;Financiamento_EV!$C$7),0,L44*Financiamento_EV!$C$9)</f>
        <v>0</v>
      </c>
      <c r="N44" s="10">
        <f t="shared" si="4"/>
        <v>69481.211913965308</v>
      </c>
      <c r="O44" s="10">
        <f>IF(N44&lt;=0,0,N44*Financiamento_EV!$C$6)</f>
        <v>1181.1806025374103</v>
      </c>
      <c r="P44" s="10">
        <f>IF(N44&lt;=0,0,IF(Financiamento_EV!$C$6=0,N44/(Financiamento_EV!$C$7-K44+1),N44*Financiamento_EV!$C$6/(1-(1+Financiamento_EV!$C$6)^(-(Financiamento_EV!$C$7-K44+1)))))</f>
        <v>2451.5109510633447</v>
      </c>
      <c r="Q44" s="10">
        <f t="shared" si="5"/>
        <v>1270.3303485259344</v>
      </c>
      <c r="R44" s="10">
        <f>IF(N44&lt;=0,0,MIN(IF(ISNUMBER(INDEX(Financiamento_EV!$I$17:$I$136,K44)),MAX(0,INDEX(Financiamento_EV!$I$17:$I$136,K44)),IF(K44&gt;=Financiamento_EV!$C$11,Financiamento_EV!$C$10,0)),MAX(0,N44-Q44)))</f>
        <v>0</v>
      </c>
      <c r="S44" s="10">
        <f t="shared" si="6"/>
        <v>68210.881565439369</v>
      </c>
      <c r="T44" s="10">
        <f t="shared" si="7"/>
        <v>2451.5109510633447</v>
      </c>
      <c r="V44">
        <f t="shared" si="25"/>
        <v>10</v>
      </c>
      <c r="W44" s="10">
        <f t="shared" si="26"/>
        <v>69481.211913965308</v>
      </c>
      <c r="X44" s="10">
        <f>IF(OR(W44&lt;=0,V44&gt;Financiamento_EV!$C$7),0,W44*Financiamento_EV!$C$9)</f>
        <v>0</v>
      </c>
      <c r="Y44" s="10">
        <f t="shared" si="8"/>
        <v>69481.211913965308</v>
      </c>
      <c r="Z44" s="10">
        <f>IF(Y44&lt;=0,0,Y44*Financiamento_EV!$C$6)</f>
        <v>1181.1806025374103</v>
      </c>
      <c r="AA44" s="10">
        <f>IF(Y44&lt;=0,0,IF(Financiamento_EV!$C$6=0,Y44/(Financiamento_EV!$C$7-V44+1),Y44*Financiamento_EV!$C$6/(1-(1+Financiamento_EV!$C$6)^(-(Financiamento_EV!$C$7-V44+1)))))</f>
        <v>2451.5109510633447</v>
      </c>
      <c r="AB44" s="10">
        <f t="shared" si="9"/>
        <v>1270.3303485259344</v>
      </c>
      <c r="AC44" s="10">
        <f>IF(Y44&lt;=0,0,MIN(IF(ISNUMBER(INDEX(Financiamento_EV!$I$17:$I$136,V44)),MAX(0,INDEX(Financiamento_EV!$I$17:$I$136,V44)),IF(V44&gt;=Financiamento_EV!$C$11,Financiamento_EV!$C$10,0)),MAX(0,Y44-AB44)))</f>
        <v>0</v>
      </c>
      <c r="AD44" s="10">
        <f>IF(OR(Y44&lt;=0,V44&lt;Financiamento_EV!$C$11),0,MIN(MAX(0,Financiamento_EV!$F$5-AA44),MAX(0,Y44-AB44-AC44)))</f>
        <v>1.3642420526593924E-12</v>
      </c>
      <c r="AE44" s="10">
        <f t="shared" si="10"/>
        <v>2451.5109510633461</v>
      </c>
      <c r="AF44" s="10">
        <f t="shared" si="11"/>
        <v>68210.881565439369</v>
      </c>
      <c r="AG44" s="10">
        <f t="shared" si="12"/>
        <v>1.3642420526593924E-12</v>
      </c>
      <c r="AI44">
        <f t="shared" si="13"/>
        <v>10</v>
      </c>
      <c r="AJ44">
        <f t="shared" si="14"/>
        <v>68210.881565439369</v>
      </c>
      <c r="AK44">
        <f t="shared" si="15"/>
        <v>68210.881565439369</v>
      </c>
      <c r="AL44">
        <f t="shared" si="16"/>
        <v>68210.881565439369</v>
      </c>
      <c r="AM44">
        <f t="shared" si="17"/>
        <v>10</v>
      </c>
      <c r="AN44">
        <f t="shared" si="18"/>
        <v>2451.5109510633447</v>
      </c>
      <c r="AO44">
        <f t="shared" si="19"/>
        <v>2451.5109510633447</v>
      </c>
      <c r="AP44">
        <f t="shared" si="20"/>
        <v>2451.5109510633461</v>
      </c>
    </row>
    <row r="45" spans="1:42">
      <c r="A45">
        <f t="shared" si="21"/>
        <v>11</v>
      </c>
      <c r="B45" s="10">
        <f t="shared" si="22"/>
        <v>68210.881565439369</v>
      </c>
      <c r="C45" s="10">
        <f>IF(OR(B45&lt;=0,A45&gt;Financiamento_EV!$C$7),0,B45*Financiamento_EV!$C$9)</f>
        <v>0</v>
      </c>
      <c r="D45" s="10">
        <f t="shared" si="0"/>
        <v>68210.881565439369</v>
      </c>
      <c r="E45" s="10">
        <f>IF(D45&lt;=0,0,D45*Financiamento_EV!$C$6)</f>
        <v>1159.5849866124693</v>
      </c>
      <c r="F45" s="10">
        <f>IF(D45&lt;=0,0,IF(Financiamento_EV!$C$6=0,D45/(Financiamento_EV!$C$7-A45+1),D45*Financiamento_EV!$C$6/(1-(1+Financiamento_EV!$C$6)^(-(Financiamento_EV!$C$7-A45+1)))))</f>
        <v>2451.5109510633438</v>
      </c>
      <c r="G45" s="10">
        <f t="shared" si="1"/>
        <v>1291.9259644508745</v>
      </c>
      <c r="H45" s="10">
        <f t="shared" si="2"/>
        <v>66918.955600988498</v>
      </c>
      <c r="I45" s="10">
        <f t="shared" si="3"/>
        <v>2451.5109510633438</v>
      </c>
      <c r="K45">
        <f t="shared" si="23"/>
        <v>11</v>
      </c>
      <c r="L45" s="10">
        <f t="shared" si="24"/>
        <v>68210.881565439369</v>
      </c>
      <c r="M45" s="10">
        <f>IF(OR(L45&lt;=0,K45&gt;Financiamento_EV!$C$7),0,L45*Financiamento_EV!$C$9)</f>
        <v>0</v>
      </c>
      <c r="N45" s="10">
        <f t="shared" si="4"/>
        <v>68210.881565439369</v>
      </c>
      <c r="O45" s="10">
        <f>IF(N45&lt;=0,0,N45*Financiamento_EV!$C$6)</f>
        <v>1159.5849866124693</v>
      </c>
      <c r="P45" s="10">
        <f>IF(N45&lt;=0,0,IF(Financiamento_EV!$C$6=0,N45/(Financiamento_EV!$C$7-K45+1),N45*Financiamento_EV!$C$6/(1-(1+Financiamento_EV!$C$6)^(-(Financiamento_EV!$C$7-K45+1)))))</f>
        <v>2451.5109510633438</v>
      </c>
      <c r="Q45" s="10">
        <f t="shared" si="5"/>
        <v>1291.9259644508745</v>
      </c>
      <c r="R45" s="10">
        <f>IF(N45&lt;=0,0,MIN(IF(ISNUMBER(INDEX(Financiamento_EV!$I$17:$I$136,K45)),MAX(0,INDEX(Financiamento_EV!$I$17:$I$136,K45)),IF(K45&gt;=Financiamento_EV!$C$11,Financiamento_EV!$C$10,0)),MAX(0,N45-Q45)))</f>
        <v>0</v>
      </c>
      <c r="S45" s="10">
        <f t="shared" si="6"/>
        <v>66918.955600988498</v>
      </c>
      <c r="T45" s="10">
        <f t="shared" si="7"/>
        <v>2451.5109510633438</v>
      </c>
      <c r="V45">
        <f t="shared" si="25"/>
        <v>11</v>
      </c>
      <c r="W45" s="10">
        <f t="shared" si="26"/>
        <v>68210.881565439369</v>
      </c>
      <c r="X45" s="10">
        <f>IF(OR(W45&lt;=0,V45&gt;Financiamento_EV!$C$7),0,W45*Financiamento_EV!$C$9)</f>
        <v>0</v>
      </c>
      <c r="Y45" s="10">
        <f t="shared" si="8"/>
        <v>68210.881565439369</v>
      </c>
      <c r="Z45" s="10">
        <f>IF(Y45&lt;=0,0,Y45*Financiamento_EV!$C$6)</f>
        <v>1159.5849866124693</v>
      </c>
      <c r="AA45" s="10">
        <f>IF(Y45&lt;=0,0,IF(Financiamento_EV!$C$6=0,Y45/(Financiamento_EV!$C$7-V45+1),Y45*Financiamento_EV!$C$6/(1-(1+Financiamento_EV!$C$6)^(-(Financiamento_EV!$C$7-V45+1)))))</f>
        <v>2451.5109510633438</v>
      </c>
      <c r="AB45" s="10">
        <f t="shared" si="9"/>
        <v>1291.9259644508745</v>
      </c>
      <c r="AC45" s="10">
        <f>IF(Y45&lt;=0,0,MIN(IF(ISNUMBER(INDEX(Financiamento_EV!$I$17:$I$136,V45)),MAX(0,INDEX(Financiamento_EV!$I$17:$I$136,V45)),IF(V45&gt;=Financiamento_EV!$C$11,Financiamento_EV!$C$10,0)),MAX(0,Y45-AB45)))</f>
        <v>0</v>
      </c>
      <c r="AD45" s="10">
        <f>IF(OR(Y45&lt;=0,V45&lt;Financiamento_EV!$C$11),0,MIN(MAX(0,Financiamento_EV!$F$5-AA45),MAX(0,Y45-AB45-AC45)))</f>
        <v>2.2737367544323206E-12</v>
      </c>
      <c r="AE45" s="10">
        <f t="shared" si="10"/>
        <v>2451.5109510633461</v>
      </c>
      <c r="AF45" s="10">
        <f t="shared" si="11"/>
        <v>66918.955600988498</v>
      </c>
      <c r="AG45" s="10">
        <f t="shared" si="12"/>
        <v>2.2737367544323206E-12</v>
      </c>
      <c r="AI45">
        <f t="shared" si="13"/>
        <v>11</v>
      </c>
      <c r="AJ45">
        <f t="shared" si="14"/>
        <v>66918.955600988498</v>
      </c>
      <c r="AK45">
        <f t="shared" si="15"/>
        <v>66918.955600988498</v>
      </c>
      <c r="AL45">
        <f t="shared" si="16"/>
        <v>66918.955600988498</v>
      </c>
      <c r="AM45">
        <f t="shared" si="17"/>
        <v>11</v>
      </c>
      <c r="AN45">
        <f t="shared" si="18"/>
        <v>2451.5109510633438</v>
      </c>
      <c r="AO45">
        <f t="shared" si="19"/>
        <v>2451.5109510633438</v>
      </c>
      <c r="AP45">
        <f t="shared" si="20"/>
        <v>2451.5109510633461</v>
      </c>
    </row>
    <row r="46" spans="1:42">
      <c r="A46">
        <f t="shared" si="21"/>
        <v>12</v>
      </c>
      <c r="B46" s="10">
        <f t="shared" si="22"/>
        <v>66918.955600988498</v>
      </c>
      <c r="C46" s="10">
        <f>IF(OR(B46&lt;=0,A46&gt;Financiamento_EV!$C$7),0,B46*Financiamento_EV!$C$9)</f>
        <v>0</v>
      </c>
      <c r="D46" s="10">
        <f t="shared" si="0"/>
        <v>66918.955600988498</v>
      </c>
      <c r="E46" s="10">
        <f>IF(D46&lt;=0,0,D46*Financiamento_EV!$C$6)</f>
        <v>1137.6222452168045</v>
      </c>
      <c r="F46" s="10">
        <f>IF(D46&lt;=0,0,IF(Financiamento_EV!$C$6=0,D46/(Financiamento_EV!$C$7-A46+1),D46*Financiamento_EV!$C$6/(1-(1+Financiamento_EV!$C$6)^(-(Financiamento_EV!$C$7-A46+1)))))</f>
        <v>2451.5109510633442</v>
      </c>
      <c r="G46" s="10">
        <f t="shared" si="1"/>
        <v>1313.8887058465398</v>
      </c>
      <c r="H46" s="10">
        <f t="shared" si="2"/>
        <v>65605.066895141965</v>
      </c>
      <c r="I46" s="10">
        <f t="shared" si="3"/>
        <v>2451.5109510633442</v>
      </c>
      <c r="K46">
        <f t="shared" si="23"/>
        <v>12</v>
      </c>
      <c r="L46" s="10">
        <f t="shared" si="24"/>
        <v>66918.955600988498</v>
      </c>
      <c r="M46" s="10">
        <f>IF(OR(L46&lt;=0,K46&gt;Financiamento_EV!$C$7),0,L46*Financiamento_EV!$C$9)</f>
        <v>0</v>
      </c>
      <c r="N46" s="10">
        <f t="shared" si="4"/>
        <v>66918.955600988498</v>
      </c>
      <c r="O46" s="10">
        <f>IF(N46&lt;=0,0,N46*Financiamento_EV!$C$6)</f>
        <v>1137.6222452168045</v>
      </c>
      <c r="P46" s="10">
        <f>IF(N46&lt;=0,0,IF(Financiamento_EV!$C$6=0,N46/(Financiamento_EV!$C$7-K46+1),N46*Financiamento_EV!$C$6/(1-(1+Financiamento_EV!$C$6)^(-(Financiamento_EV!$C$7-K46+1)))))</f>
        <v>2451.5109510633442</v>
      </c>
      <c r="Q46" s="10">
        <f t="shared" si="5"/>
        <v>1313.8887058465398</v>
      </c>
      <c r="R46" s="10">
        <f>IF(N46&lt;=0,0,MIN(IF(ISNUMBER(INDEX(Financiamento_EV!$I$17:$I$136,K46)),MAX(0,INDEX(Financiamento_EV!$I$17:$I$136,K46)),IF(K46&gt;=Financiamento_EV!$C$11,Financiamento_EV!$C$10,0)),MAX(0,N46-Q46)))</f>
        <v>0</v>
      </c>
      <c r="S46" s="10">
        <f t="shared" si="6"/>
        <v>65605.066895141965</v>
      </c>
      <c r="T46" s="10">
        <f t="shared" si="7"/>
        <v>2451.5109510633442</v>
      </c>
      <c r="V46">
        <f t="shared" si="25"/>
        <v>12</v>
      </c>
      <c r="W46" s="10">
        <f t="shared" si="26"/>
        <v>66918.955600988498</v>
      </c>
      <c r="X46" s="10">
        <f>IF(OR(W46&lt;=0,V46&gt;Financiamento_EV!$C$7),0,W46*Financiamento_EV!$C$9)</f>
        <v>0</v>
      </c>
      <c r="Y46" s="10">
        <f t="shared" si="8"/>
        <v>66918.955600988498</v>
      </c>
      <c r="Z46" s="10">
        <f>IF(Y46&lt;=0,0,Y46*Financiamento_EV!$C$6)</f>
        <v>1137.6222452168045</v>
      </c>
      <c r="AA46" s="10">
        <f>IF(Y46&lt;=0,0,IF(Financiamento_EV!$C$6=0,Y46/(Financiamento_EV!$C$7-V46+1),Y46*Financiamento_EV!$C$6/(1-(1+Financiamento_EV!$C$6)^(-(Financiamento_EV!$C$7-V46+1)))))</f>
        <v>2451.5109510633442</v>
      </c>
      <c r="AB46" s="10">
        <f t="shared" si="9"/>
        <v>1313.8887058465398</v>
      </c>
      <c r="AC46" s="10">
        <f>IF(Y46&lt;=0,0,MIN(IF(ISNUMBER(INDEX(Financiamento_EV!$I$17:$I$136,V46)),MAX(0,INDEX(Financiamento_EV!$I$17:$I$136,V46)),IF(V46&gt;=Financiamento_EV!$C$11,Financiamento_EV!$C$10,0)),MAX(0,Y46-AB46)))</f>
        <v>0</v>
      </c>
      <c r="AD46" s="10">
        <f>IF(OR(Y46&lt;=0,V46&lt;Financiamento_EV!$C$11),0,MIN(MAX(0,Financiamento_EV!$F$5-AA46),MAX(0,Y46-AB46-AC46)))</f>
        <v>1.8189894035458565E-12</v>
      </c>
      <c r="AE46" s="10">
        <f t="shared" si="10"/>
        <v>2451.5109510633461</v>
      </c>
      <c r="AF46" s="10">
        <f t="shared" si="11"/>
        <v>65605.066895141965</v>
      </c>
      <c r="AG46" s="10">
        <f t="shared" si="12"/>
        <v>1.8189894035458565E-12</v>
      </c>
      <c r="AI46">
        <f t="shared" si="13"/>
        <v>12</v>
      </c>
      <c r="AJ46">
        <f t="shared" si="14"/>
        <v>65605.066895141965</v>
      </c>
      <c r="AK46">
        <f t="shared" si="15"/>
        <v>65605.066895141965</v>
      </c>
      <c r="AL46">
        <f t="shared" si="16"/>
        <v>65605.066895141965</v>
      </c>
      <c r="AM46">
        <f t="shared" si="17"/>
        <v>12</v>
      </c>
      <c r="AN46">
        <f t="shared" si="18"/>
        <v>2451.5109510633442</v>
      </c>
      <c r="AO46">
        <f t="shared" si="19"/>
        <v>2451.5109510633442</v>
      </c>
      <c r="AP46">
        <f t="shared" si="20"/>
        <v>2451.5109510633461</v>
      </c>
    </row>
    <row r="47" spans="1:42">
      <c r="A47">
        <f t="shared" si="21"/>
        <v>13</v>
      </c>
      <c r="B47" s="10">
        <f t="shared" si="22"/>
        <v>65605.066895141965</v>
      </c>
      <c r="C47" s="10">
        <f>IF(OR(B47&lt;=0,A47&gt;Financiamento_EV!$C$7),0,B47*Financiamento_EV!$C$9)</f>
        <v>0</v>
      </c>
      <c r="D47" s="10">
        <f t="shared" si="0"/>
        <v>65605.066895141965</v>
      </c>
      <c r="E47" s="10">
        <f>IF(D47&lt;=0,0,D47*Financiamento_EV!$C$6)</f>
        <v>1115.2861372174134</v>
      </c>
      <c r="F47" s="10">
        <f>IF(D47&lt;=0,0,IF(Financiamento_EV!$C$6=0,D47/(Financiamento_EV!$C$7-A47+1),D47*Financiamento_EV!$C$6/(1-(1+Financiamento_EV!$C$6)^(-(Financiamento_EV!$C$7-A47+1)))))</f>
        <v>2451.5109510633433</v>
      </c>
      <c r="G47" s="10">
        <f t="shared" si="1"/>
        <v>1336.2248138459299</v>
      </c>
      <c r="H47" s="10">
        <f t="shared" si="2"/>
        <v>64268.842081296032</v>
      </c>
      <c r="I47" s="10">
        <f t="shared" si="3"/>
        <v>2451.5109510633433</v>
      </c>
      <c r="K47">
        <f t="shared" si="23"/>
        <v>13</v>
      </c>
      <c r="L47" s="10">
        <f t="shared" si="24"/>
        <v>65605.066895141965</v>
      </c>
      <c r="M47" s="10">
        <f>IF(OR(L47&lt;=0,K47&gt;Financiamento_EV!$C$7),0,L47*Financiamento_EV!$C$9)</f>
        <v>0</v>
      </c>
      <c r="N47" s="10">
        <f t="shared" si="4"/>
        <v>65605.066895141965</v>
      </c>
      <c r="O47" s="10">
        <f>IF(N47&lt;=0,0,N47*Financiamento_EV!$C$6)</f>
        <v>1115.2861372174134</v>
      </c>
      <c r="P47" s="10">
        <f>IF(N47&lt;=0,0,IF(Financiamento_EV!$C$6=0,N47/(Financiamento_EV!$C$7-K47+1),N47*Financiamento_EV!$C$6/(1-(1+Financiamento_EV!$C$6)^(-(Financiamento_EV!$C$7-K47+1)))))</f>
        <v>2451.5109510633433</v>
      </c>
      <c r="Q47" s="10">
        <f t="shared" si="5"/>
        <v>1336.2248138459299</v>
      </c>
      <c r="R47" s="10">
        <f>IF(N47&lt;=0,0,MIN(IF(ISNUMBER(INDEX(Financiamento_EV!$I$17:$I$136,K47)),MAX(0,INDEX(Financiamento_EV!$I$17:$I$136,K47)),IF(K47&gt;=Financiamento_EV!$C$11,Financiamento_EV!$C$10,0)),MAX(0,N47-Q47)))</f>
        <v>0</v>
      </c>
      <c r="S47" s="10">
        <f t="shared" si="6"/>
        <v>64268.842081296032</v>
      </c>
      <c r="T47" s="10">
        <f t="shared" si="7"/>
        <v>2451.5109510633433</v>
      </c>
      <c r="V47">
        <f t="shared" si="25"/>
        <v>13</v>
      </c>
      <c r="W47" s="10">
        <f t="shared" si="26"/>
        <v>65605.066895141965</v>
      </c>
      <c r="X47" s="10">
        <f>IF(OR(W47&lt;=0,V47&gt;Financiamento_EV!$C$7),0,W47*Financiamento_EV!$C$9)</f>
        <v>0</v>
      </c>
      <c r="Y47" s="10">
        <f t="shared" si="8"/>
        <v>65605.066895141965</v>
      </c>
      <c r="Z47" s="10">
        <f>IF(Y47&lt;=0,0,Y47*Financiamento_EV!$C$6)</f>
        <v>1115.2861372174134</v>
      </c>
      <c r="AA47" s="10">
        <f>IF(Y47&lt;=0,0,IF(Financiamento_EV!$C$6=0,Y47/(Financiamento_EV!$C$7-V47+1),Y47*Financiamento_EV!$C$6/(1-(1+Financiamento_EV!$C$6)^(-(Financiamento_EV!$C$7-V47+1)))))</f>
        <v>2451.5109510633433</v>
      </c>
      <c r="AB47" s="10">
        <f t="shared" si="9"/>
        <v>1336.2248138459299</v>
      </c>
      <c r="AC47" s="10">
        <f>IF(Y47&lt;=0,0,MIN(IF(ISNUMBER(INDEX(Financiamento_EV!$I$17:$I$136,V47)),MAX(0,INDEX(Financiamento_EV!$I$17:$I$136,V47)),IF(V47&gt;=Financiamento_EV!$C$11,Financiamento_EV!$C$10,0)),MAX(0,Y47-AB47)))</f>
        <v>0</v>
      </c>
      <c r="AD47" s="10">
        <f>IF(OR(Y47&lt;=0,V47&lt;Financiamento_EV!$C$11),0,MIN(MAX(0,Financiamento_EV!$F$5-AA47),MAX(0,Y47-AB47-AC47)))</f>
        <v>2.7284841053187847E-12</v>
      </c>
      <c r="AE47" s="10">
        <f t="shared" si="10"/>
        <v>2451.5109510633461</v>
      </c>
      <c r="AF47" s="10">
        <f t="shared" si="11"/>
        <v>64268.842081296032</v>
      </c>
      <c r="AG47" s="10">
        <f t="shared" si="12"/>
        <v>2.7284841053187847E-12</v>
      </c>
      <c r="AI47">
        <f t="shared" si="13"/>
        <v>13</v>
      </c>
      <c r="AJ47">
        <f t="shared" si="14"/>
        <v>64268.842081296032</v>
      </c>
      <c r="AK47">
        <f t="shared" si="15"/>
        <v>64268.842081296032</v>
      </c>
      <c r="AL47">
        <f t="shared" si="16"/>
        <v>64268.842081296032</v>
      </c>
      <c r="AM47">
        <f t="shared" si="17"/>
        <v>13</v>
      </c>
      <c r="AN47">
        <f t="shared" si="18"/>
        <v>2451.5109510633433</v>
      </c>
      <c r="AO47">
        <f t="shared" si="19"/>
        <v>2451.5109510633433</v>
      </c>
      <c r="AP47">
        <f t="shared" si="20"/>
        <v>2451.5109510633461</v>
      </c>
    </row>
    <row r="48" spans="1:42">
      <c r="A48">
        <f t="shared" si="21"/>
        <v>14</v>
      </c>
      <c r="B48" s="10">
        <f t="shared" si="22"/>
        <v>64268.842081296032</v>
      </c>
      <c r="C48" s="10">
        <f>IF(OR(B48&lt;=0,A48&gt;Financiamento_EV!$C$7),0,B48*Financiamento_EV!$C$9)</f>
        <v>0</v>
      </c>
      <c r="D48" s="10">
        <f t="shared" si="0"/>
        <v>64268.842081296032</v>
      </c>
      <c r="E48" s="10">
        <f>IF(D48&lt;=0,0,D48*Financiamento_EV!$C$6)</f>
        <v>1092.5703153820327</v>
      </c>
      <c r="F48" s="10">
        <f>IF(D48&lt;=0,0,IF(Financiamento_EV!$C$6=0,D48/(Financiamento_EV!$C$7-A48+1),D48*Financiamento_EV!$C$6/(1-(1+Financiamento_EV!$C$6)^(-(Financiamento_EV!$C$7-A48+1)))))</f>
        <v>2451.5109510633442</v>
      </c>
      <c r="G48" s="10">
        <f t="shared" si="1"/>
        <v>1358.9406356813115</v>
      </c>
      <c r="H48" s="10">
        <f t="shared" si="2"/>
        <v>62909.90144561472</v>
      </c>
      <c r="I48" s="10">
        <f t="shared" si="3"/>
        <v>2451.5109510633442</v>
      </c>
      <c r="K48">
        <f t="shared" si="23"/>
        <v>14</v>
      </c>
      <c r="L48" s="10">
        <f t="shared" si="24"/>
        <v>64268.842081296032</v>
      </c>
      <c r="M48" s="10">
        <f>IF(OR(L48&lt;=0,K48&gt;Financiamento_EV!$C$7),0,L48*Financiamento_EV!$C$9)</f>
        <v>0</v>
      </c>
      <c r="N48" s="10">
        <f t="shared" si="4"/>
        <v>64268.842081296032</v>
      </c>
      <c r="O48" s="10">
        <f>IF(N48&lt;=0,0,N48*Financiamento_EV!$C$6)</f>
        <v>1092.5703153820327</v>
      </c>
      <c r="P48" s="10">
        <f>IF(N48&lt;=0,0,IF(Financiamento_EV!$C$6=0,N48/(Financiamento_EV!$C$7-K48+1),N48*Financiamento_EV!$C$6/(1-(1+Financiamento_EV!$C$6)^(-(Financiamento_EV!$C$7-K48+1)))))</f>
        <v>2451.5109510633442</v>
      </c>
      <c r="Q48" s="10">
        <f t="shared" si="5"/>
        <v>1358.9406356813115</v>
      </c>
      <c r="R48" s="10">
        <f>IF(N48&lt;=0,0,MIN(IF(ISNUMBER(INDEX(Financiamento_EV!$I$17:$I$136,K48)),MAX(0,INDEX(Financiamento_EV!$I$17:$I$136,K48)),IF(K48&gt;=Financiamento_EV!$C$11,Financiamento_EV!$C$10,0)),MAX(0,N48-Q48)))</f>
        <v>0</v>
      </c>
      <c r="S48" s="10">
        <f t="shared" si="6"/>
        <v>62909.90144561472</v>
      </c>
      <c r="T48" s="10">
        <f t="shared" si="7"/>
        <v>2451.5109510633442</v>
      </c>
      <c r="V48">
        <f t="shared" si="25"/>
        <v>14</v>
      </c>
      <c r="W48" s="10">
        <f t="shared" si="26"/>
        <v>64268.842081296032</v>
      </c>
      <c r="X48" s="10">
        <f>IF(OR(W48&lt;=0,V48&gt;Financiamento_EV!$C$7),0,W48*Financiamento_EV!$C$9)</f>
        <v>0</v>
      </c>
      <c r="Y48" s="10">
        <f t="shared" si="8"/>
        <v>64268.842081296032</v>
      </c>
      <c r="Z48" s="10">
        <f>IF(Y48&lt;=0,0,Y48*Financiamento_EV!$C$6)</f>
        <v>1092.5703153820327</v>
      </c>
      <c r="AA48" s="10">
        <f>IF(Y48&lt;=0,0,IF(Financiamento_EV!$C$6=0,Y48/(Financiamento_EV!$C$7-V48+1),Y48*Financiamento_EV!$C$6/(1-(1+Financiamento_EV!$C$6)^(-(Financiamento_EV!$C$7-V48+1)))))</f>
        <v>2451.5109510633442</v>
      </c>
      <c r="AB48" s="10">
        <f t="shared" si="9"/>
        <v>1358.9406356813115</v>
      </c>
      <c r="AC48" s="10">
        <f>IF(Y48&lt;=0,0,MIN(IF(ISNUMBER(INDEX(Financiamento_EV!$I$17:$I$136,V48)),MAX(0,INDEX(Financiamento_EV!$I$17:$I$136,V48)),IF(V48&gt;=Financiamento_EV!$C$11,Financiamento_EV!$C$10,0)),MAX(0,Y48-AB48)))</f>
        <v>0</v>
      </c>
      <c r="AD48" s="10">
        <f>IF(OR(Y48&lt;=0,V48&lt;Financiamento_EV!$C$11),0,MIN(MAX(0,Financiamento_EV!$F$5-AA48),MAX(0,Y48-AB48-AC48)))</f>
        <v>1.8189894035458565E-12</v>
      </c>
      <c r="AE48" s="10">
        <f t="shared" si="10"/>
        <v>2451.5109510633461</v>
      </c>
      <c r="AF48" s="10">
        <f t="shared" si="11"/>
        <v>62909.90144561472</v>
      </c>
      <c r="AG48" s="10">
        <f t="shared" si="12"/>
        <v>1.8189894035458565E-12</v>
      </c>
      <c r="AI48">
        <f t="shared" si="13"/>
        <v>14</v>
      </c>
      <c r="AJ48">
        <f t="shared" si="14"/>
        <v>62909.90144561472</v>
      </c>
      <c r="AK48">
        <f t="shared" si="15"/>
        <v>62909.90144561472</v>
      </c>
      <c r="AL48">
        <f t="shared" si="16"/>
        <v>62909.90144561472</v>
      </c>
      <c r="AM48">
        <f t="shared" si="17"/>
        <v>14</v>
      </c>
      <c r="AN48">
        <f t="shared" si="18"/>
        <v>2451.5109510633442</v>
      </c>
      <c r="AO48">
        <f t="shared" si="19"/>
        <v>2451.5109510633442</v>
      </c>
      <c r="AP48">
        <f t="shared" si="20"/>
        <v>2451.5109510633461</v>
      </c>
    </row>
    <row r="49" spans="1:42">
      <c r="A49">
        <f t="shared" si="21"/>
        <v>15</v>
      </c>
      <c r="B49" s="10">
        <f t="shared" si="22"/>
        <v>62909.90144561472</v>
      </c>
      <c r="C49" s="10">
        <f>IF(OR(B49&lt;=0,A49&gt;Financiamento_EV!$C$7),0,B49*Financiamento_EV!$C$9)</f>
        <v>0</v>
      </c>
      <c r="D49" s="10">
        <f t="shared" si="0"/>
        <v>62909.90144561472</v>
      </c>
      <c r="E49" s="10">
        <f>IF(D49&lt;=0,0,D49*Financiamento_EV!$C$6)</f>
        <v>1069.4683245754504</v>
      </c>
      <c r="F49" s="10">
        <f>IF(D49&lt;=0,0,IF(Financiamento_EV!$C$6=0,D49/(Financiamento_EV!$C$7-A49+1),D49*Financiamento_EV!$C$6/(1-(1+Financiamento_EV!$C$6)^(-(Financiamento_EV!$C$7-A49+1)))))</f>
        <v>2451.5109510633433</v>
      </c>
      <c r="G49" s="10">
        <f t="shared" si="1"/>
        <v>1382.0426264878929</v>
      </c>
      <c r="H49" s="10">
        <f t="shared" si="2"/>
        <v>61527.858819126828</v>
      </c>
      <c r="I49" s="10">
        <f t="shared" si="3"/>
        <v>2451.5109510633433</v>
      </c>
      <c r="K49">
        <f t="shared" si="23"/>
        <v>15</v>
      </c>
      <c r="L49" s="10">
        <f t="shared" si="24"/>
        <v>62909.90144561472</v>
      </c>
      <c r="M49" s="10">
        <f>IF(OR(L49&lt;=0,K49&gt;Financiamento_EV!$C$7),0,L49*Financiamento_EV!$C$9)</f>
        <v>0</v>
      </c>
      <c r="N49" s="10">
        <f t="shared" si="4"/>
        <v>62909.90144561472</v>
      </c>
      <c r="O49" s="10">
        <f>IF(N49&lt;=0,0,N49*Financiamento_EV!$C$6)</f>
        <v>1069.4683245754504</v>
      </c>
      <c r="P49" s="10">
        <f>IF(N49&lt;=0,0,IF(Financiamento_EV!$C$6=0,N49/(Financiamento_EV!$C$7-K49+1),N49*Financiamento_EV!$C$6/(1-(1+Financiamento_EV!$C$6)^(-(Financiamento_EV!$C$7-K49+1)))))</f>
        <v>2451.5109510633433</v>
      </c>
      <c r="Q49" s="10">
        <f t="shared" si="5"/>
        <v>1382.0426264878929</v>
      </c>
      <c r="R49" s="10">
        <f>IF(N49&lt;=0,0,MIN(IF(ISNUMBER(INDEX(Financiamento_EV!$I$17:$I$136,K49)),MAX(0,INDEX(Financiamento_EV!$I$17:$I$136,K49)),IF(K49&gt;=Financiamento_EV!$C$11,Financiamento_EV!$C$10,0)),MAX(0,N49-Q49)))</f>
        <v>0</v>
      </c>
      <c r="S49" s="10">
        <f t="shared" si="6"/>
        <v>61527.858819126828</v>
      </c>
      <c r="T49" s="10">
        <f t="shared" si="7"/>
        <v>2451.5109510633433</v>
      </c>
      <c r="V49">
        <f t="shared" si="25"/>
        <v>15</v>
      </c>
      <c r="W49" s="10">
        <f t="shared" si="26"/>
        <v>62909.90144561472</v>
      </c>
      <c r="X49" s="10">
        <f>IF(OR(W49&lt;=0,V49&gt;Financiamento_EV!$C$7),0,W49*Financiamento_EV!$C$9)</f>
        <v>0</v>
      </c>
      <c r="Y49" s="10">
        <f t="shared" si="8"/>
        <v>62909.90144561472</v>
      </c>
      <c r="Z49" s="10">
        <f>IF(Y49&lt;=0,0,Y49*Financiamento_EV!$C$6)</f>
        <v>1069.4683245754504</v>
      </c>
      <c r="AA49" s="10">
        <f>IF(Y49&lt;=0,0,IF(Financiamento_EV!$C$6=0,Y49/(Financiamento_EV!$C$7-V49+1),Y49*Financiamento_EV!$C$6/(1-(1+Financiamento_EV!$C$6)^(-(Financiamento_EV!$C$7-V49+1)))))</f>
        <v>2451.5109510633433</v>
      </c>
      <c r="AB49" s="10">
        <f t="shared" si="9"/>
        <v>1382.0426264878929</v>
      </c>
      <c r="AC49" s="10">
        <f>IF(Y49&lt;=0,0,MIN(IF(ISNUMBER(INDEX(Financiamento_EV!$I$17:$I$136,V49)),MAX(0,INDEX(Financiamento_EV!$I$17:$I$136,V49)),IF(V49&gt;=Financiamento_EV!$C$11,Financiamento_EV!$C$10,0)),MAX(0,Y49-AB49)))</f>
        <v>0</v>
      </c>
      <c r="AD49" s="10">
        <f>IF(OR(Y49&lt;=0,V49&lt;Financiamento_EV!$C$11),0,MIN(MAX(0,Financiamento_EV!$F$5-AA49),MAX(0,Y49-AB49-AC49)))</f>
        <v>2.7284841053187847E-12</v>
      </c>
      <c r="AE49" s="10">
        <f t="shared" si="10"/>
        <v>2451.5109510633461</v>
      </c>
      <c r="AF49" s="10">
        <f t="shared" si="11"/>
        <v>61527.858819126828</v>
      </c>
      <c r="AG49" s="10">
        <f t="shared" si="12"/>
        <v>2.7284841053187847E-12</v>
      </c>
      <c r="AI49">
        <f t="shared" si="13"/>
        <v>15</v>
      </c>
      <c r="AJ49">
        <f t="shared" si="14"/>
        <v>61527.858819126828</v>
      </c>
      <c r="AK49">
        <f t="shared" si="15"/>
        <v>61527.858819126828</v>
      </c>
      <c r="AL49">
        <f t="shared" si="16"/>
        <v>61527.858819126828</v>
      </c>
      <c r="AM49">
        <f t="shared" si="17"/>
        <v>15</v>
      </c>
      <c r="AN49">
        <f t="shared" si="18"/>
        <v>2451.5109510633433</v>
      </c>
      <c r="AO49">
        <f t="shared" si="19"/>
        <v>2451.5109510633433</v>
      </c>
      <c r="AP49">
        <f t="shared" si="20"/>
        <v>2451.5109510633461</v>
      </c>
    </row>
    <row r="50" spans="1:42">
      <c r="A50">
        <f t="shared" si="21"/>
        <v>16</v>
      </c>
      <c r="B50" s="10">
        <f t="shared" si="22"/>
        <v>61527.858819126828</v>
      </c>
      <c r="C50" s="10">
        <f>IF(OR(B50&lt;=0,A50&gt;Financiamento_EV!$C$7),0,B50*Financiamento_EV!$C$9)</f>
        <v>0</v>
      </c>
      <c r="D50" s="10">
        <f t="shared" si="0"/>
        <v>61527.858819126828</v>
      </c>
      <c r="E50" s="10">
        <f>IF(D50&lt;=0,0,D50*Financiamento_EV!$C$6)</f>
        <v>1045.9735999251561</v>
      </c>
      <c r="F50" s="10">
        <f>IF(D50&lt;=0,0,IF(Financiamento_EV!$C$6=0,D50/(Financiamento_EV!$C$7-A50+1),D50*Financiamento_EV!$C$6/(1-(1+Financiamento_EV!$C$6)^(-(Financiamento_EV!$C$7-A50+1)))))</f>
        <v>2451.5109510633429</v>
      </c>
      <c r="G50" s="10">
        <f t="shared" si="1"/>
        <v>1405.5373511381868</v>
      </c>
      <c r="H50" s="10">
        <f t="shared" si="2"/>
        <v>60122.321467988644</v>
      </c>
      <c r="I50" s="10">
        <f t="shared" si="3"/>
        <v>2451.5109510633429</v>
      </c>
      <c r="K50">
        <f t="shared" si="23"/>
        <v>16</v>
      </c>
      <c r="L50" s="10">
        <f t="shared" si="24"/>
        <v>61527.858819126828</v>
      </c>
      <c r="M50" s="10">
        <f>IF(OR(L50&lt;=0,K50&gt;Financiamento_EV!$C$7),0,L50*Financiamento_EV!$C$9)</f>
        <v>0</v>
      </c>
      <c r="N50" s="10">
        <f t="shared" si="4"/>
        <v>61527.858819126828</v>
      </c>
      <c r="O50" s="10">
        <f>IF(N50&lt;=0,0,N50*Financiamento_EV!$C$6)</f>
        <v>1045.9735999251561</v>
      </c>
      <c r="P50" s="10">
        <f>IF(N50&lt;=0,0,IF(Financiamento_EV!$C$6=0,N50/(Financiamento_EV!$C$7-K50+1),N50*Financiamento_EV!$C$6/(1-(1+Financiamento_EV!$C$6)^(-(Financiamento_EV!$C$7-K50+1)))))</f>
        <v>2451.5109510633429</v>
      </c>
      <c r="Q50" s="10">
        <f t="shared" si="5"/>
        <v>1405.5373511381868</v>
      </c>
      <c r="R50" s="10">
        <f>IF(N50&lt;=0,0,MIN(IF(ISNUMBER(INDEX(Financiamento_EV!$I$17:$I$136,K50)),MAX(0,INDEX(Financiamento_EV!$I$17:$I$136,K50)),IF(K50&gt;=Financiamento_EV!$C$11,Financiamento_EV!$C$10,0)),MAX(0,N50-Q50)))</f>
        <v>0</v>
      </c>
      <c r="S50" s="10">
        <f t="shared" si="6"/>
        <v>60122.321467988644</v>
      </c>
      <c r="T50" s="10">
        <f t="shared" si="7"/>
        <v>2451.5109510633429</v>
      </c>
      <c r="V50">
        <f t="shared" si="25"/>
        <v>16</v>
      </c>
      <c r="W50" s="10">
        <f t="shared" si="26"/>
        <v>61527.858819126828</v>
      </c>
      <c r="X50" s="10">
        <f>IF(OR(W50&lt;=0,V50&gt;Financiamento_EV!$C$7),0,W50*Financiamento_EV!$C$9)</f>
        <v>0</v>
      </c>
      <c r="Y50" s="10">
        <f t="shared" si="8"/>
        <v>61527.858819126828</v>
      </c>
      <c r="Z50" s="10">
        <f>IF(Y50&lt;=0,0,Y50*Financiamento_EV!$C$6)</f>
        <v>1045.9735999251561</v>
      </c>
      <c r="AA50" s="10">
        <f>IF(Y50&lt;=0,0,IF(Financiamento_EV!$C$6=0,Y50/(Financiamento_EV!$C$7-V50+1),Y50*Financiamento_EV!$C$6/(1-(1+Financiamento_EV!$C$6)^(-(Financiamento_EV!$C$7-V50+1)))))</f>
        <v>2451.5109510633429</v>
      </c>
      <c r="AB50" s="10">
        <f t="shared" si="9"/>
        <v>1405.5373511381868</v>
      </c>
      <c r="AC50" s="10">
        <f>IF(Y50&lt;=0,0,MIN(IF(ISNUMBER(INDEX(Financiamento_EV!$I$17:$I$136,V50)),MAX(0,INDEX(Financiamento_EV!$I$17:$I$136,V50)),IF(V50&gt;=Financiamento_EV!$C$11,Financiamento_EV!$C$10,0)),MAX(0,Y50-AB50)))</f>
        <v>0</v>
      </c>
      <c r="AD50" s="10">
        <f>IF(OR(Y50&lt;=0,V50&lt;Financiamento_EV!$C$11),0,MIN(MAX(0,Financiamento_EV!$F$5-AA50),MAX(0,Y50-AB50-AC50)))</f>
        <v>3.1832314562052488E-12</v>
      </c>
      <c r="AE50" s="10">
        <f t="shared" si="10"/>
        <v>2451.5109510633461</v>
      </c>
      <c r="AF50" s="10">
        <f t="shared" si="11"/>
        <v>60122.321467988644</v>
      </c>
      <c r="AG50" s="10">
        <f t="shared" si="12"/>
        <v>3.1832314562052488E-12</v>
      </c>
      <c r="AI50">
        <f t="shared" si="13"/>
        <v>16</v>
      </c>
      <c r="AJ50">
        <f t="shared" si="14"/>
        <v>60122.321467988644</v>
      </c>
      <c r="AK50">
        <f t="shared" si="15"/>
        <v>60122.321467988644</v>
      </c>
      <c r="AL50">
        <f t="shared" si="16"/>
        <v>60122.321467988644</v>
      </c>
      <c r="AM50">
        <f t="shared" si="17"/>
        <v>16</v>
      </c>
      <c r="AN50">
        <f t="shared" si="18"/>
        <v>2451.5109510633429</v>
      </c>
      <c r="AO50">
        <f t="shared" si="19"/>
        <v>2451.5109510633429</v>
      </c>
      <c r="AP50">
        <f t="shared" si="20"/>
        <v>2451.5109510633461</v>
      </c>
    </row>
    <row r="51" spans="1:42">
      <c r="A51">
        <f t="shared" si="21"/>
        <v>17</v>
      </c>
      <c r="B51" s="10">
        <f t="shared" si="22"/>
        <v>60122.321467988644</v>
      </c>
      <c r="C51" s="10">
        <f>IF(OR(B51&lt;=0,A51&gt;Financiamento_EV!$C$7),0,B51*Financiamento_EV!$C$9)</f>
        <v>0</v>
      </c>
      <c r="D51" s="10">
        <f t="shared" si="0"/>
        <v>60122.321467988644</v>
      </c>
      <c r="E51" s="10">
        <f>IF(D51&lt;=0,0,D51*Financiamento_EV!$C$6)</f>
        <v>1022.079464955807</v>
      </c>
      <c r="F51" s="10">
        <f>IF(D51&lt;=0,0,IF(Financiamento_EV!$C$6=0,D51/(Financiamento_EV!$C$7-A51+1),D51*Financiamento_EV!$C$6/(1-(1+Financiamento_EV!$C$6)^(-(Financiamento_EV!$C$7-A51+1)))))</f>
        <v>2451.5109510633424</v>
      </c>
      <c r="G51" s="10">
        <f t="shared" si="1"/>
        <v>1429.4314861075354</v>
      </c>
      <c r="H51" s="10">
        <f t="shared" si="2"/>
        <v>58692.889981881111</v>
      </c>
      <c r="I51" s="10">
        <f t="shared" si="3"/>
        <v>2451.5109510633424</v>
      </c>
      <c r="K51">
        <f t="shared" si="23"/>
        <v>17</v>
      </c>
      <c r="L51" s="10">
        <f t="shared" si="24"/>
        <v>60122.321467988644</v>
      </c>
      <c r="M51" s="10">
        <f>IF(OR(L51&lt;=0,K51&gt;Financiamento_EV!$C$7),0,L51*Financiamento_EV!$C$9)</f>
        <v>0</v>
      </c>
      <c r="N51" s="10">
        <f t="shared" si="4"/>
        <v>60122.321467988644</v>
      </c>
      <c r="O51" s="10">
        <f>IF(N51&lt;=0,0,N51*Financiamento_EV!$C$6)</f>
        <v>1022.079464955807</v>
      </c>
      <c r="P51" s="10">
        <f>IF(N51&lt;=0,0,IF(Financiamento_EV!$C$6=0,N51/(Financiamento_EV!$C$7-K51+1),N51*Financiamento_EV!$C$6/(1-(1+Financiamento_EV!$C$6)^(-(Financiamento_EV!$C$7-K51+1)))))</f>
        <v>2451.5109510633424</v>
      </c>
      <c r="Q51" s="10">
        <f t="shared" si="5"/>
        <v>1429.4314861075354</v>
      </c>
      <c r="R51" s="10">
        <f>IF(N51&lt;=0,0,MIN(IF(ISNUMBER(INDEX(Financiamento_EV!$I$17:$I$136,K51)),MAX(0,INDEX(Financiamento_EV!$I$17:$I$136,K51)),IF(K51&gt;=Financiamento_EV!$C$11,Financiamento_EV!$C$10,0)),MAX(0,N51-Q51)))</f>
        <v>0</v>
      </c>
      <c r="S51" s="10">
        <f t="shared" si="6"/>
        <v>58692.889981881111</v>
      </c>
      <c r="T51" s="10">
        <f t="shared" si="7"/>
        <v>2451.5109510633424</v>
      </c>
      <c r="V51">
        <f t="shared" si="25"/>
        <v>17</v>
      </c>
      <c r="W51" s="10">
        <f t="shared" si="26"/>
        <v>60122.321467988644</v>
      </c>
      <c r="X51" s="10">
        <f>IF(OR(W51&lt;=0,V51&gt;Financiamento_EV!$C$7),0,W51*Financiamento_EV!$C$9)</f>
        <v>0</v>
      </c>
      <c r="Y51" s="10">
        <f t="shared" si="8"/>
        <v>60122.321467988644</v>
      </c>
      <c r="Z51" s="10">
        <f>IF(Y51&lt;=0,0,Y51*Financiamento_EV!$C$6)</f>
        <v>1022.079464955807</v>
      </c>
      <c r="AA51" s="10">
        <f>IF(Y51&lt;=0,0,IF(Financiamento_EV!$C$6=0,Y51/(Financiamento_EV!$C$7-V51+1),Y51*Financiamento_EV!$C$6/(1-(1+Financiamento_EV!$C$6)^(-(Financiamento_EV!$C$7-V51+1)))))</f>
        <v>2451.5109510633424</v>
      </c>
      <c r="AB51" s="10">
        <f t="shared" si="9"/>
        <v>1429.4314861075354</v>
      </c>
      <c r="AC51" s="10">
        <f>IF(Y51&lt;=0,0,MIN(IF(ISNUMBER(INDEX(Financiamento_EV!$I$17:$I$136,V51)),MAX(0,INDEX(Financiamento_EV!$I$17:$I$136,V51)),IF(V51&gt;=Financiamento_EV!$C$11,Financiamento_EV!$C$10,0)),MAX(0,Y51-AB51)))</f>
        <v>0</v>
      </c>
      <c r="AD51" s="10">
        <f>IF(OR(Y51&lt;=0,V51&lt;Financiamento_EV!$C$11),0,MIN(MAX(0,Financiamento_EV!$F$5-AA51),MAX(0,Y51-AB51-AC51)))</f>
        <v>3.637978807091713E-12</v>
      </c>
      <c r="AE51" s="10">
        <f t="shared" si="10"/>
        <v>2451.5109510633461</v>
      </c>
      <c r="AF51" s="10">
        <f t="shared" si="11"/>
        <v>58692.889981881104</v>
      </c>
      <c r="AG51" s="10">
        <f t="shared" si="12"/>
        <v>3.637978807091713E-12</v>
      </c>
      <c r="AI51">
        <f t="shared" si="13"/>
        <v>17</v>
      </c>
      <c r="AJ51">
        <f t="shared" si="14"/>
        <v>58692.889981881111</v>
      </c>
      <c r="AK51">
        <f t="shared" si="15"/>
        <v>58692.889981881111</v>
      </c>
      <c r="AL51">
        <f t="shared" si="16"/>
        <v>58692.889981881104</v>
      </c>
      <c r="AM51">
        <f t="shared" si="17"/>
        <v>17</v>
      </c>
      <c r="AN51">
        <f t="shared" si="18"/>
        <v>2451.5109510633424</v>
      </c>
      <c r="AO51">
        <f t="shared" si="19"/>
        <v>2451.5109510633424</v>
      </c>
      <c r="AP51">
        <f t="shared" si="20"/>
        <v>2451.5109510633461</v>
      </c>
    </row>
    <row r="52" spans="1:42">
      <c r="A52">
        <f t="shared" si="21"/>
        <v>18</v>
      </c>
      <c r="B52" s="10">
        <f t="shared" si="22"/>
        <v>58692.889981881111</v>
      </c>
      <c r="C52" s="10">
        <f>IF(OR(B52&lt;=0,A52&gt;Financiamento_EV!$C$7),0,B52*Financiamento_EV!$C$9)</f>
        <v>0</v>
      </c>
      <c r="D52" s="10">
        <f t="shared" si="0"/>
        <v>58692.889981881111</v>
      </c>
      <c r="E52" s="10">
        <f>IF(D52&lt;=0,0,D52*Financiamento_EV!$C$6)</f>
        <v>997.77912969197894</v>
      </c>
      <c r="F52" s="10">
        <f>IF(D52&lt;=0,0,IF(Financiamento_EV!$C$6=0,D52/(Financiamento_EV!$C$7-A52+1),D52*Financiamento_EV!$C$6/(1-(1+Financiamento_EV!$C$6)^(-(Financiamento_EV!$C$7-A52+1)))))</f>
        <v>2451.5109510633424</v>
      </c>
      <c r="G52" s="10">
        <f t="shared" si="1"/>
        <v>1453.7318213713634</v>
      </c>
      <c r="H52" s="10">
        <f t="shared" si="2"/>
        <v>57239.158160509745</v>
      </c>
      <c r="I52" s="10">
        <f t="shared" si="3"/>
        <v>2451.5109510633424</v>
      </c>
      <c r="K52">
        <f t="shared" si="23"/>
        <v>18</v>
      </c>
      <c r="L52" s="10">
        <f t="shared" si="24"/>
        <v>58692.889981881111</v>
      </c>
      <c r="M52" s="10">
        <f>IF(OR(L52&lt;=0,K52&gt;Financiamento_EV!$C$7),0,L52*Financiamento_EV!$C$9)</f>
        <v>0</v>
      </c>
      <c r="N52" s="10">
        <f t="shared" si="4"/>
        <v>58692.889981881111</v>
      </c>
      <c r="O52" s="10">
        <f>IF(N52&lt;=0,0,N52*Financiamento_EV!$C$6)</f>
        <v>997.77912969197894</v>
      </c>
      <c r="P52" s="10">
        <f>IF(N52&lt;=0,0,IF(Financiamento_EV!$C$6=0,N52/(Financiamento_EV!$C$7-K52+1),N52*Financiamento_EV!$C$6/(1-(1+Financiamento_EV!$C$6)^(-(Financiamento_EV!$C$7-K52+1)))))</f>
        <v>2451.5109510633424</v>
      </c>
      <c r="Q52" s="10">
        <f t="shared" si="5"/>
        <v>1453.7318213713634</v>
      </c>
      <c r="R52" s="10">
        <f>IF(N52&lt;=0,0,MIN(IF(ISNUMBER(INDEX(Financiamento_EV!$I$17:$I$136,K52)),MAX(0,INDEX(Financiamento_EV!$I$17:$I$136,K52)),IF(K52&gt;=Financiamento_EV!$C$11,Financiamento_EV!$C$10,0)),MAX(0,N52-Q52)))</f>
        <v>0</v>
      </c>
      <c r="S52" s="10">
        <f t="shared" si="6"/>
        <v>57239.158160509745</v>
      </c>
      <c r="T52" s="10">
        <f t="shared" si="7"/>
        <v>2451.5109510633424</v>
      </c>
      <c r="V52">
        <f t="shared" si="25"/>
        <v>18</v>
      </c>
      <c r="W52" s="10">
        <f t="shared" si="26"/>
        <v>58692.889981881104</v>
      </c>
      <c r="X52" s="10">
        <f>IF(OR(W52&lt;=0,V52&gt;Financiamento_EV!$C$7),0,W52*Financiamento_EV!$C$9)</f>
        <v>0</v>
      </c>
      <c r="Y52" s="10">
        <f t="shared" si="8"/>
        <v>58692.889981881104</v>
      </c>
      <c r="Z52" s="10">
        <f>IF(Y52&lt;=0,0,Y52*Financiamento_EV!$C$6)</f>
        <v>997.77912969197882</v>
      </c>
      <c r="AA52" s="10">
        <f>IF(Y52&lt;=0,0,IF(Financiamento_EV!$C$6=0,Y52/(Financiamento_EV!$C$7-V52+1),Y52*Financiamento_EV!$C$6/(1-(1+Financiamento_EV!$C$6)^(-(Financiamento_EV!$C$7-V52+1)))))</f>
        <v>2451.5109510633424</v>
      </c>
      <c r="AB52" s="10">
        <f t="shared" si="9"/>
        <v>1453.7318213713636</v>
      </c>
      <c r="AC52" s="10">
        <f>IF(Y52&lt;=0,0,MIN(IF(ISNUMBER(INDEX(Financiamento_EV!$I$17:$I$136,V52)),MAX(0,INDEX(Financiamento_EV!$I$17:$I$136,V52)),IF(V52&gt;=Financiamento_EV!$C$11,Financiamento_EV!$C$10,0)),MAX(0,Y52-AB52)))</f>
        <v>0</v>
      </c>
      <c r="AD52" s="10">
        <f>IF(OR(Y52&lt;=0,V52&lt;Financiamento_EV!$C$11),0,MIN(MAX(0,Financiamento_EV!$F$5-AA52),MAX(0,Y52-AB52-AC52)))</f>
        <v>3.637978807091713E-12</v>
      </c>
      <c r="AE52" s="10">
        <f t="shared" si="10"/>
        <v>2451.5109510633461</v>
      </c>
      <c r="AF52" s="10">
        <f t="shared" si="11"/>
        <v>57239.158160509731</v>
      </c>
      <c r="AG52" s="10">
        <f t="shared" si="12"/>
        <v>3.637978807091713E-12</v>
      </c>
      <c r="AI52">
        <f t="shared" si="13"/>
        <v>18</v>
      </c>
      <c r="AJ52">
        <f t="shared" si="14"/>
        <v>57239.158160509745</v>
      </c>
      <c r="AK52">
        <f t="shared" si="15"/>
        <v>57239.158160509745</v>
      </c>
      <c r="AL52">
        <f t="shared" si="16"/>
        <v>57239.158160509731</v>
      </c>
      <c r="AM52">
        <f t="shared" si="17"/>
        <v>18</v>
      </c>
      <c r="AN52">
        <f t="shared" si="18"/>
        <v>2451.5109510633424</v>
      </c>
      <c r="AO52">
        <f t="shared" si="19"/>
        <v>2451.5109510633424</v>
      </c>
      <c r="AP52">
        <f t="shared" si="20"/>
        <v>2451.5109510633461</v>
      </c>
    </row>
    <row r="53" spans="1:42">
      <c r="A53">
        <f t="shared" si="21"/>
        <v>19</v>
      </c>
      <c r="B53" s="10">
        <f t="shared" si="22"/>
        <v>57239.158160509745</v>
      </c>
      <c r="C53" s="10">
        <f>IF(OR(B53&lt;=0,A53&gt;Financiamento_EV!$C$7),0,B53*Financiamento_EV!$C$9)</f>
        <v>0</v>
      </c>
      <c r="D53" s="10">
        <f t="shared" si="0"/>
        <v>57239.158160509745</v>
      </c>
      <c r="E53" s="10">
        <f>IF(D53&lt;=0,0,D53*Financiamento_EV!$C$6)</f>
        <v>973.06568872866569</v>
      </c>
      <c r="F53" s="10">
        <f>IF(D53&lt;=0,0,IF(Financiamento_EV!$C$6=0,D53/(Financiamento_EV!$C$7-A53+1),D53*Financiamento_EV!$C$6/(1-(1+Financiamento_EV!$C$6)^(-(Financiamento_EV!$C$7-A53+1)))))</f>
        <v>2451.5109510633424</v>
      </c>
      <c r="G53" s="10">
        <f t="shared" si="1"/>
        <v>1478.4452623346767</v>
      </c>
      <c r="H53" s="10">
        <f t="shared" si="2"/>
        <v>55760.712898175072</v>
      </c>
      <c r="I53" s="10">
        <f t="shared" si="3"/>
        <v>2451.5109510633424</v>
      </c>
      <c r="K53">
        <f t="shared" si="23"/>
        <v>19</v>
      </c>
      <c r="L53" s="10">
        <f t="shared" si="24"/>
        <v>57239.158160509745</v>
      </c>
      <c r="M53" s="10">
        <f>IF(OR(L53&lt;=0,K53&gt;Financiamento_EV!$C$7),0,L53*Financiamento_EV!$C$9)</f>
        <v>0</v>
      </c>
      <c r="N53" s="10">
        <f t="shared" si="4"/>
        <v>57239.158160509745</v>
      </c>
      <c r="O53" s="10">
        <f>IF(N53&lt;=0,0,N53*Financiamento_EV!$C$6)</f>
        <v>973.06568872866569</v>
      </c>
      <c r="P53" s="10">
        <f>IF(N53&lt;=0,0,IF(Financiamento_EV!$C$6=0,N53/(Financiamento_EV!$C$7-K53+1),N53*Financiamento_EV!$C$6/(1-(1+Financiamento_EV!$C$6)^(-(Financiamento_EV!$C$7-K53+1)))))</f>
        <v>2451.5109510633424</v>
      </c>
      <c r="Q53" s="10">
        <f t="shared" si="5"/>
        <v>1478.4452623346767</v>
      </c>
      <c r="R53" s="10">
        <f>IF(N53&lt;=0,0,MIN(IF(ISNUMBER(INDEX(Financiamento_EV!$I$17:$I$136,K53)),MAX(0,INDEX(Financiamento_EV!$I$17:$I$136,K53)),IF(K53&gt;=Financiamento_EV!$C$11,Financiamento_EV!$C$10,0)),MAX(0,N53-Q53)))</f>
        <v>0</v>
      </c>
      <c r="S53" s="10">
        <f t="shared" si="6"/>
        <v>55760.712898175072</v>
      </c>
      <c r="T53" s="10">
        <f t="shared" si="7"/>
        <v>2451.5109510633424</v>
      </c>
      <c r="V53">
        <f t="shared" si="25"/>
        <v>19</v>
      </c>
      <c r="W53" s="10">
        <f t="shared" si="26"/>
        <v>57239.158160509731</v>
      </c>
      <c r="X53" s="10">
        <f>IF(OR(W53&lt;=0,V53&gt;Financiamento_EV!$C$7),0,W53*Financiamento_EV!$C$9)</f>
        <v>0</v>
      </c>
      <c r="Y53" s="10">
        <f t="shared" si="8"/>
        <v>57239.158160509731</v>
      </c>
      <c r="Z53" s="10">
        <f>IF(Y53&lt;=0,0,Y53*Financiamento_EV!$C$6)</f>
        <v>973.06568872866546</v>
      </c>
      <c r="AA53" s="10">
        <f>IF(Y53&lt;=0,0,IF(Financiamento_EV!$C$6=0,Y53/(Financiamento_EV!$C$7-V53+1),Y53*Financiamento_EV!$C$6/(1-(1+Financiamento_EV!$C$6)^(-(Financiamento_EV!$C$7-V53+1)))))</f>
        <v>2451.5109510633415</v>
      </c>
      <c r="AB53" s="10">
        <f t="shared" si="9"/>
        <v>1478.445262334676</v>
      </c>
      <c r="AC53" s="10">
        <f>IF(Y53&lt;=0,0,MIN(IF(ISNUMBER(INDEX(Financiamento_EV!$I$17:$I$136,V53)),MAX(0,INDEX(Financiamento_EV!$I$17:$I$136,V53)),IF(V53&gt;=Financiamento_EV!$C$11,Financiamento_EV!$C$10,0)),MAX(0,Y53-AB53)))</f>
        <v>0</v>
      </c>
      <c r="AD53" s="10">
        <f>IF(OR(Y53&lt;=0,V53&lt;Financiamento_EV!$C$11),0,MIN(MAX(0,Financiamento_EV!$F$5-AA53),MAX(0,Y53-AB53-AC53)))</f>
        <v>4.5474735088646412E-12</v>
      </c>
      <c r="AE53" s="10">
        <f t="shared" si="10"/>
        <v>2451.5109510633461</v>
      </c>
      <c r="AF53" s="10">
        <f t="shared" si="11"/>
        <v>55760.71289817505</v>
      </c>
      <c r="AG53" s="10">
        <f t="shared" si="12"/>
        <v>4.5474735088646412E-12</v>
      </c>
      <c r="AI53">
        <f t="shared" si="13"/>
        <v>19</v>
      </c>
      <c r="AJ53">
        <f t="shared" si="14"/>
        <v>55760.712898175072</v>
      </c>
      <c r="AK53">
        <f t="shared" si="15"/>
        <v>55760.712898175072</v>
      </c>
      <c r="AL53">
        <f t="shared" si="16"/>
        <v>55760.71289817505</v>
      </c>
      <c r="AM53">
        <f t="shared" si="17"/>
        <v>19</v>
      </c>
      <c r="AN53">
        <f t="shared" si="18"/>
        <v>2451.5109510633424</v>
      </c>
      <c r="AO53">
        <f t="shared" si="19"/>
        <v>2451.5109510633424</v>
      </c>
      <c r="AP53">
        <f t="shared" si="20"/>
        <v>2451.5109510633461</v>
      </c>
    </row>
    <row r="54" spans="1:42">
      <c r="A54">
        <f t="shared" si="21"/>
        <v>20</v>
      </c>
      <c r="B54" s="10">
        <f t="shared" si="22"/>
        <v>55760.712898175072</v>
      </c>
      <c r="C54" s="10">
        <f>IF(OR(B54&lt;=0,A54&gt;Financiamento_EV!$C$7),0,B54*Financiamento_EV!$C$9)</f>
        <v>0</v>
      </c>
      <c r="D54" s="10">
        <f t="shared" si="0"/>
        <v>55760.712898175072</v>
      </c>
      <c r="E54" s="10">
        <f>IF(D54&lt;=0,0,D54*Financiamento_EV!$C$6)</f>
        <v>947.93211926897629</v>
      </c>
      <c r="F54" s="10">
        <f>IF(D54&lt;=0,0,IF(Financiamento_EV!$C$6=0,D54/(Financiamento_EV!$C$7-A54+1),D54*Financiamento_EV!$C$6/(1-(1+Financiamento_EV!$C$6)^(-(Financiamento_EV!$C$7-A54+1)))))</f>
        <v>2451.5109510633424</v>
      </c>
      <c r="G54" s="10">
        <f t="shared" si="1"/>
        <v>1503.5788317943661</v>
      </c>
      <c r="H54" s="10">
        <f t="shared" si="2"/>
        <v>54257.134066380706</v>
      </c>
      <c r="I54" s="10">
        <f t="shared" si="3"/>
        <v>2451.5109510633424</v>
      </c>
      <c r="K54">
        <f t="shared" si="23"/>
        <v>20</v>
      </c>
      <c r="L54" s="10">
        <f t="shared" si="24"/>
        <v>55760.712898175072</v>
      </c>
      <c r="M54" s="10">
        <f>IF(OR(L54&lt;=0,K54&gt;Financiamento_EV!$C$7),0,L54*Financiamento_EV!$C$9)</f>
        <v>0</v>
      </c>
      <c r="N54" s="10">
        <f t="shared" si="4"/>
        <v>55760.712898175072</v>
      </c>
      <c r="O54" s="10">
        <f>IF(N54&lt;=0,0,N54*Financiamento_EV!$C$6)</f>
        <v>947.93211926897629</v>
      </c>
      <c r="P54" s="10">
        <f>IF(N54&lt;=0,0,IF(Financiamento_EV!$C$6=0,N54/(Financiamento_EV!$C$7-K54+1),N54*Financiamento_EV!$C$6/(1-(1+Financiamento_EV!$C$6)^(-(Financiamento_EV!$C$7-K54+1)))))</f>
        <v>2451.5109510633424</v>
      </c>
      <c r="Q54" s="10">
        <f t="shared" si="5"/>
        <v>1503.5788317943661</v>
      </c>
      <c r="R54" s="10">
        <f>IF(N54&lt;=0,0,MIN(IF(ISNUMBER(INDEX(Financiamento_EV!$I$17:$I$136,K54)),MAX(0,INDEX(Financiamento_EV!$I$17:$I$136,K54)),IF(K54&gt;=Financiamento_EV!$C$11,Financiamento_EV!$C$10,0)),MAX(0,N54-Q54)))</f>
        <v>0</v>
      </c>
      <c r="S54" s="10">
        <f t="shared" si="6"/>
        <v>54257.134066380706</v>
      </c>
      <c r="T54" s="10">
        <f t="shared" si="7"/>
        <v>2451.5109510633424</v>
      </c>
      <c r="V54">
        <f t="shared" si="25"/>
        <v>20</v>
      </c>
      <c r="W54" s="10">
        <f t="shared" si="26"/>
        <v>55760.71289817505</v>
      </c>
      <c r="X54" s="10">
        <f>IF(OR(W54&lt;=0,V54&gt;Financiamento_EV!$C$7),0,W54*Financiamento_EV!$C$9)</f>
        <v>0</v>
      </c>
      <c r="Y54" s="10">
        <f t="shared" si="8"/>
        <v>55760.71289817505</v>
      </c>
      <c r="Z54" s="10">
        <f>IF(Y54&lt;=0,0,Y54*Financiamento_EV!$C$6)</f>
        <v>947.93211926897595</v>
      </c>
      <c r="AA54" s="10">
        <f>IF(Y54&lt;=0,0,IF(Financiamento_EV!$C$6=0,Y54/(Financiamento_EV!$C$7-V54+1),Y54*Financiamento_EV!$C$6/(1-(1+Financiamento_EV!$C$6)^(-(Financiamento_EV!$C$7-V54+1)))))</f>
        <v>2451.5109510633415</v>
      </c>
      <c r="AB54" s="10">
        <f t="shared" si="9"/>
        <v>1503.5788317943657</v>
      </c>
      <c r="AC54" s="10">
        <f>IF(Y54&lt;=0,0,MIN(IF(ISNUMBER(INDEX(Financiamento_EV!$I$17:$I$136,V54)),MAX(0,INDEX(Financiamento_EV!$I$17:$I$136,V54)),IF(V54&gt;=Financiamento_EV!$C$11,Financiamento_EV!$C$10,0)),MAX(0,Y54-AB54)))</f>
        <v>0</v>
      </c>
      <c r="AD54" s="10">
        <f>IF(OR(Y54&lt;=0,V54&lt;Financiamento_EV!$C$11),0,MIN(MAX(0,Financiamento_EV!$F$5-AA54),MAX(0,Y54-AB54-AC54)))</f>
        <v>4.5474735088646412E-12</v>
      </c>
      <c r="AE54" s="10">
        <f t="shared" si="10"/>
        <v>2451.5109510633461</v>
      </c>
      <c r="AF54" s="10">
        <f t="shared" si="11"/>
        <v>54257.134066380677</v>
      </c>
      <c r="AG54" s="10">
        <f t="shared" si="12"/>
        <v>4.5474735088646412E-12</v>
      </c>
      <c r="AI54">
        <f t="shared" si="13"/>
        <v>20</v>
      </c>
      <c r="AJ54">
        <f t="shared" si="14"/>
        <v>54257.134066380706</v>
      </c>
      <c r="AK54">
        <f t="shared" si="15"/>
        <v>54257.134066380706</v>
      </c>
      <c r="AL54">
        <f t="shared" si="16"/>
        <v>54257.134066380677</v>
      </c>
      <c r="AM54">
        <f t="shared" si="17"/>
        <v>20</v>
      </c>
      <c r="AN54">
        <f t="shared" si="18"/>
        <v>2451.5109510633424</v>
      </c>
      <c r="AO54">
        <f t="shared" si="19"/>
        <v>2451.5109510633424</v>
      </c>
      <c r="AP54">
        <f t="shared" si="20"/>
        <v>2451.5109510633461</v>
      </c>
    </row>
    <row r="55" spans="1:42">
      <c r="A55">
        <f t="shared" si="21"/>
        <v>21</v>
      </c>
      <c r="B55" s="10">
        <f t="shared" si="22"/>
        <v>54257.134066380706</v>
      </c>
      <c r="C55" s="10">
        <f>IF(OR(B55&lt;=0,A55&gt;Financiamento_EV!$C$7),0,B55*Financiamento_EV!$C$9)</f>
        <v>0</v>
      </c>
      <c r="D55" s="10">
        <f t="shared" si="0"/>
        <v>54257.134066380706</v>
      </c>
      <c r="E55" s="10">
        <f>IF(D55&lt;=0,0,D55*Financiamento_EV!$C$6)</f>
        <v>922.37127912847211</v>
      </c>
      <c r="F55" s="10">
        <f>IF(D55&lt;=0,0,IF(Financiamento_EV!$C$6=0,D55/(Financiamento_EV!$C$7-A55+1),D55*Financiamento_EV!$C$6/(1-(1+Financiamento_EV!$C$6)^(-(Financiamento_EV!$C$7-A55+1)))))</f>
        <v>2451.510951063342</v>
      </c>
      <c r="G55" s="10">
        <f t="shared" si="1"/>
        <v>1529.13967193487</v>
      </c>
      <c r="H55" s="10">
        <f t="shared" si="2"/>
        <v>52727.994394445835</v>
      </c>
      <c r="I55" s="10">
        <f t="shared" si="3"/>
        <v>2451.510951063342</v>
      </c>
      <c r="K55">
        <f t="shared" si="23"/>
        <v>21</v>
      </c>
      <c r="L55" s="10">
        <f t="shared" si="24"/>
        <v>54257.134066380706</v>
      </c>
      <c r="M55" s="10">
        <f>IF(OR(L55&lt;=0,K55&gt;Financiamento_EV!$C$7),0,L55*Financiamento_EV!$C$9)</f>
        <v>0</v>
      </c>
      <c r="N55" s="10">
        <f t="shared" si="4"/>
        <v>54257.134066380706</v>
      </c>
      <c r="O55" s="10">
        <f>IF(N55&lt;=0,0,N55*Financiamento_EV!$C$6)</f>
        <v>922.37127912847211</v>
      </c>
      <c r="P55" s="10">
        <f>IF(N55&lt;=0,0,IF(Financiamento_EV!$C$6=0,N55/(Financiamento_EV!$C$7-K55+1),N55*Financiamento_EV!$C$6/(1-(1+Financiamento_EV!$C$6)^(-(Financiamento_EV!$C$7-K55+1)))))</f>
        <v>2451.510951063342</v>
      </c>
      <c r="Q55" s="10">
        <f t="shared" si="5"/>
        <v>1529.13967193487</v>
      </c>
      <c r="R55" s="10">
        <f>IF(N55&lt;=0,0,MIN(IF(ISNUMBER(INDEX(Financiamento_EV!$I$17:$I$136,K55)),MAX(0,INDEX(Financiamento_EV!$I$17:$I$136,K55)),IF(K55&gt;=Financiamento_EV!$C$11,Financiamento_EV!$C$10,0)),MAX(0,N55-Q55)))</f>
        <v>0</v>
      </c>
      <c r="S55" s="10">
        <f t="shared" si="6"/>
        <v>52727.994394445835</v>
      </c>
      <c r="T55" s="10">
        <f t="shared" si="7"/>
        <v>2451.510951063342</v>
      </c>
      <c r="V55">
        <f t="shared" si="25"/>
        <v>21</v>
      </c>
      <c r="W55" s="10">
        <f t="shared" si="26"/>
        <v>54257.134066380677</v>
      </c>
      <c r="X55" s="10">
        <f>IF(OR(W55&lt;=0,V55&gt;Financiamento_EV!$C$7),0,W55*Financiamento_EV!$C$9)</f>
        <v>0</v>
      </c>
      <c r="Y55" s="10">
        <f t="shared" si="8"/>
        <v>54257.134066380677</v>
      </c>
      <c r="Z55" s="10">
        <f>IF(Y55&lt;=0,0,Y55*Financiamento_EV!$C$6)</f>
        <v>922.37127912847154</v>
      </c>
      <c r="AA55" s="10">
        <f>IF(Y55&lt;=0,0,IF(Financiamento_EV!$C$6=0,Y55/(Financiamento_EV!$C$7-V55+1),Y55*Financiamento_EV!$C$6/(1-(1+Financiamento_EV!$C$6)^(-(Financiamento_EV!$C$7-V55+1)))))</f>
        <v>2451.5109510633406</v>
      </c>
      <c r="AB55" s="10">
        <f t="shared" si="9"/>
        <v>1529.1396719348691</v>
      </c>
      <c r="AC55" s="10">
        <f>IF(Y55&lt;=0,0,MIN(IF(ISNUMBER(INDEX(Financiamento_EV!$I$17:$I$136,V55)),MAX(0,INDEX(Financiamento_EV!$I$17:$I$136,V55)),IF(V55&gt;=Financiamento_EV!$C$11,Financiamento_EV!$C$10,0)),MAX(0,Y55-AB55)))</f>
        <v>0</v>
      </c>
      <c r="AD55" s="10">
        <f>IF(OR(Y55&lt;=0,V55&lt;Financiamento_EV!$C$11),0,MIN(MAX(0,Financiamento_EV!$F$5-AA55),MAX(0,Y55-AB55-AC55)))</f>
        <v>5.4569682106375694E-12</v>
      </c>
      <c r="AE55" s="10">
        <f t="shared" si="10"/>
        <v>2451.5109510633461</v>
      </c>
      <c r="AF55" s="10">
        <f t="shared" si="11"/>
        <v>52727.994394445799</v>
      </c>
      <c r="AG55" s="10">
        <f t="shared" si="12"/>
        <v>5.4569682106375694E-12</v>
      </c>
      <c r="AI55">
        <f t="shared" si="13"/>
        <v>21</v>
      </c>
      <c r="AJ55">
        <f t="shared" si="14"/>
        <v>52727.994394445835</v>
      </c>
      <c r="AK55">
        <f t="shared" si="15"/>
        <v>52727.994394445835</v>
      </c>
      <c r="AL55">
        <f t="shared" si="16"/>
        <v>52727.994394445799</v>
      </c>
      <c r="AM55">
        <f t="shared" si="17"/>
        <v>21</v>
      </c>
      <c r="AN55">
        <f t="shared" si="18"/>
        <v>2451.510951063342</v>
      </c>
      <c r="AO55">
        <f t="shared" si="19"/>
        <v>2451.510951063342</v>
      </c>
      <c r="AP55">
        <f t="shared" si="20"/>
        <v>2451.5109510633461</v>
      </c>
    </row>
    <row r="56" spans="1:42">
      <c r="A56">
        <f t="shared" si="21"/>
        <v>22</v>
      </c>
      <c r="B56" s="10">
        <f t="shared" si="22"/>
        <v>52727.994394445835</v>
      </c>
      <c r="C56" s="10">
        <f>IF(OR(B56&lt;=0,A56&gt;Financiamento_EV!$C$7),0,B56*Financiamento_EV!$C$9)</f>
        <v>0</v>
      </c>
      <c r="D56" s="10">
        <f t="shared" si="0"/>
        <v>52727.994394445835</v>
      </c>
      <c r="E56" s="10">
        <f>IF(D56&lt;=0,0,D56*Financiamento_EV!$C$6)</f>
        <v>896.37590470557927</v>
      </c>
      <c r="F56" s="10">
        <f>IF(D56&lt;=0,0,IF(Financiamento_EV!$C$6=0,D56/(Financiamento_EV!$C$7-A56+1),D56*Financiamento_EV!$C$6/(1-(1+Financiamento_EV!$C$6)^(-(Financiamento_EV!$C$7-A56+1)))))</f>
        <v>2451.510951063342</v>
      </c>
      <c r="G56" s="10">
        <f t="shared" si="1"/>
        <v>1555.1350463577628</v>
      </c>
      <c r="H56" s="10">
        <f t="shared" si="2"/>
        <v>51172.859348088074</v>
      </c>
      <c r="I56" s="10">
        <f t="shared" si="3"/>
        <v>2451.510951063342</v>
      </c>
      <c r="K56">
        <f t="shared" si="23"/>
        <v>22</v>
      </c>
      <c r="L56" s="10">
        <f t="shared" si="24"/>
        <v>52727.994394445835</v>
      </c>
      <c r="M56" s="10">
        <f>IF(OR(L56&lt;=0,K56&gt;Financiamento_EV!$C$7),0,L56*Financiamento_EV!$C$9)</f>
        <v>0</v>
      </c>
      <c r="N56" s="10">
        <f t="shared" si="4"/>
        <v>52727.994394445835</v>
      </c>
      <c r="O56" s="10">
        <f>IF(N56&lt;=0,0,N56*Financiamento_EV!$C$6)</f>
        <v>896.37590470557927</v>
      </c>
      <c r="P56" s="10">
        <f>IF(N56&lt;=0,0,IF(Financiamento_EV!$C$6=0,N56/(Financiamento_EV!$C$7-K56+1),N56*Financiamento_EV!$C$6/(1-(1+Financiamento_EV!$C$6)^(-(Financiamento_EV!$C$7-K56+1)))))</f>
        <v>2451.510951063342</v>
      </c>
      <c r="Q56" s="10">
        <f t="shared" si="5"/>
        <v>1555.1350463577628</v>
      </c>
      <c r="R56" s="10">
        <f>IF(N56&lt;=0,0,MIN(IF(ISNUMBER(INDEX(Financiamento_EV!$I$17:$I$136,K56)),MAX(0,INDEX(Financiamento_EV!$I$17:$I$136,K56)),IF(K56&gt;=Financiamento_EV!$C$11,Financiamento_EV!$C$10,0)),MAX(0,N56-Q56)))</f>
        <v>0</v>
      </c>
      <c r="S56" s="10">
        <f t="shared" si="6"/>
        <v>51172.859348088074</v>
      </c>
      <c r="T56" s="10">
        <f t="shared" si="7"/>
        <v>2451.510951063342</v>
      </c>
      <c r="V56">
        <f t="shared" si="25"/>
        <v>22</v>
      </c>
      <c r="W56" s="10">
        <f t="shared" si="26"/>
        <v>52727.994394445799</v>
      </c>
      <c r="X56" s="10">
        <f>IF(OR(W56&lt;=0,V56&gt;Financiamento_EV!$C$7),0,W56*Financiamento_EV!$C$9)</f>
        <v>0</v>
      </c>
      <c r="Y56" s="10">
        <f t="shared" si="8"/>
        <v>52727.994394445799</v>
      </c>
      <c r="Z56" s="10">
        <f>IF(Y56&lt;=0,0,Y56*Financiamento_EV!$C$6)</f>
        <v>896.37590470557871</v>
      </c>
      <c r="AA56" s="10">
        <f>IF(Y56&lt;=0,0,IF(Financiamento_EV!$C$6=0,Y56/(Financiamento_EV!$C$7-V56+1),Y56*Financiamento_EV!$C$6/(1-(1+Financiamento_EV!$C$6)^(-(Financiamento_EV!$C$7-V56+1)))))</f>
        <v>2451.5109510633401</v>
      </c>
      <c r="AB56" s="10">
        <f t="shared" si="9"/>
        <v>1555.1350463577614</v>
      </c>
      <c r="AC56" s="10">
        <f>IF(Y56&lt;=0,0,MIN(IF(ISNUMBER(INDEX(Financiamento_EV!$I$17:$I$136,V56)),MAX(0,INDEX(Financiamento_EV!$I$17:$I$136,V56)),IF(V56&gt;=Financiamento_EV!$C$11,Financiamento_EV!$C$10,0)),MAX(0,Y56-AB56)))</f>
        <v>0</v>
      </c>
      <c r="AD56" s="10">
        <f>IF(OR(Y56&lt;=0,V56&lt;Financiamento_EV!$C$11),0,MIN(MAX(0,Financiamento_EV!$F$5-AA56),MAX(0,Y56-AB56-AC56)))</f>
        <v>5.9117155615240335E-12</v>
      </c>
      <c r="AE56" s="10">
        <f t="shared" si="10"/>
        <v>2451.5109510633461</v>
      </c>
      <c r="AF56" s="10">
        <f t="shared" si="11"/>
        <v>51172.85934808803</v>
      </c>
      <c r="AG56" s="10">
        <f t="shared" si="12"/>
        <v>5.9117155615240335E-12</v>
      </c>
      <c r="AI56">
        <f t="shared" si="13"/>
        <v>22</v>
      </c>
      <c r="AJ56">
        <f t="shared" si="14"/>
        <v>51172.859348088074</v>
      </c>
      <c r="AK56">
        <f t="shared" si="15"/>
        <v>51172.859348088074</v>
      </c>
      <c r="AL56">
        <f t="shared" si="16"/>
        <v>51172.85934808803</v>
      </c>
      <c r="AM56">
        <f t="shared" si="17"/>
        <v>22</v>
      </c>
      <c r="AN56">
        <f t="shared" si="18"/>
        <v>2451.510951063342</v>
      </c>
      <c r="AO56">
        <f t="shared" si="19"/>
        <v>2451.510951063342</v>
      </c>
      <c r="AP56">
        <f t="shared" si="20"/>
        <v>2451.5109510633461</v>
      </c>
    </row>
    <row r="57" spans="1:42">
      <c r="A57">
        <f t="shared" si="21"/>
        <v>23</v>
      </c>
      <c r="B57" s="10">
        <f t="shared" si="22"/>
        <v>51172.859348088074</v>
      </c>
      <c r="C57" s="10">
        <f>IF(OR(B57&lt;=0,A57&gt;Financiamento_EV!$C$7),0,B57*Financiamento_EV!$C$9)</f>
        <v>0</v>
      </c>
      <c r="D57" s="10">
        <f t="shared" si="0"/>
        <v>51172.859348088074</v>
      </c>
      <c r="E57" s="10">
        <f>IF(D57&lt;=0,0,D57*Financiamento_EV!$C$6)</f>
        <v>869.93860891749728</v>
      </c>
      <c r="F57" s="10">
        <f>IF(D57&lt;=0,0,IF(Financiamento_EV!$C$6=0,D57/(Financiamento_EV!$C$7-A57+1),D57*Financiamento_EV!$C$6/(1-(1+Financiamento_EV!$C$6)^(-(Financiamento_EV!$C$7-A57+1)))))</f>
        <v>2451.5109510633406</v>
      </c>
      <c r="G57" s="10">
        <f t="shared" si="1"/>
        <v>1581.5723421458433</v>
      </c>
      <c r="H57" s="10">
        <f t="shared" si="2"/>
        <v>49591.287005942228</v>
      </c>
      <c r="I57" s="10">
        <f t="shared" si="3"/>
        <v>2451.5109510633406</v>
      </c>
      <c r="K57">
        <f t="shared" si="23"/>
        <v>23</v>
      </c>
      <c r="L57" s="10">
        <f t="shared" si="24"/>
        <v>51172.859348088074</v>
      </c>
      <c r="M57" s="10">
        <f>IF(OR(L57&lt;=0,K57&gt;Financiamento_EV!$C$7),0,L57*Financiamento_EV!$C$9)</f>
        <v>0</v>
      </c>
      <c r="N57" s="10">
        <f t="shared" si="4"/>
        <v>51172.859348088074</v>
      </c>
      <c r="O57" s="10">
        <f>IF(N57&lt;=0,0,N57*Financiamento_EV!$C$6)</f>
        <v>869.93860891749728</v>
      </c>
      <c r="P57" s="10">
        <f>IF(N57&lt;=0,0,IF(Financiamento_EV!$C$6=0,N57/(Financiamento_EV!$C$7-K57+1),N57*Financiamento_EV!$C$6/(1-(1+Financiamento_EV!$C$6)^(-(Financiamento_EV!$C$7-K57+1)))))</f>
        <v>2451.5109510633406</v>
      </c>
      <c r="Q57" s="10">
        <f t="shared" si="5"/>
        <v>1581.5723421458433</v>
      </c>
      <c r="R57" s="10">
        <f>IF(N57&lt;=0,0,MIN(IF(ISNUMBER(INDEX(Financiamento_EV!$I$17:$I$136,K57)),MAX(0,INDEX(Financiamento_EV!$I$17:$I$136,K57)),IF(K57&gt;=Financiamento_EV!$C$11,Financiamento_EV!$C$10,0)),MAX(0,N57-Q57)))</f>
        <v>0</v>
      </c>
      <c r="S57" s="10">
        <f t="shared" si="6"/>
        <v>49591.287005942228</v>
      </c>
      <c r="T57" s="10">
        <f t="shared" si="7"/>
        <v>2451.5109510633406</v>
      </c>
      <c r="V57">
        <f t="shared" si="25"/>
        <v>23</v>
      </c>
      <c r="W57" s="10">
        <f t="shared" si="26"/>
        <v>51172.85934808803</v>
      </c>
      <c r="X57" s="10">
        <f>IF(OR(W57&lt;=0,V57&gt;Financiamento_EV!$C$7),0,W57*Financiamento_EV!$C$9)</f>
        <v>0</v>
      </c>
      <c r="Y57" s="10">
        <f t="shared" si="8"/>
        <v>51172.85934808803</v>
      </c>
      <c r="Z57" s="10">
        <f>IF(Y57&lt;=0,0,Y57*Financiamento_EV!$C$6)</f>
        <v>869.93860891749659</v>
      </c>
      <c r="AA57" s="10">
        <f>IF(Y57&lt;=0,0,IF(Financiamento_EV!$C$6=0,Y57/(Financiamento_EV!$C$7-V57+1),Y57*Financiamento_EV!$C$6/(1-(1+Financiamento_EV!$C$6)^(-(Financiamento_EV!$C$7-V57+1)))))</f>
        <v>2451.5109510633388</v>
      </c>
      <c r="AB57" s="10">
        <f t="shared" si="9"/>
        <v>1581.5723421458422</v>
      </c>
      <c r="AC57" s="10">
        <f>IF(Y57&lt;=0,0,MIN(IF(ISNUMBER(INDEX(Financiamento_EV!$I$17:$I$136,V57)),MAX(0,INDEX(Financiamento_EV!$I$17:$I$136,V57)),IF(V57&gt;=Financiamento_EV!$C$11,Financiamento_EV!$C$10,0)),MAX(0,Y57-AB57)))</f>
        <v>0</v>
      </c>
      <c r="AD57" s="10">
        <f>IF(OR(Y57&lt;=0,V57&lt;Financiamento_EV!$C$11),0,MIN(MAX(0,Financiamento_EV!$F$5-AA57),MAX(0,Y57-AB57-AC57)))</f>
        <v>7.2759576141834259E-12</v>
      </c>
      <c r="AE57" s="10">
        <f t="shared" si="10"/>
        <v>2451.5109510633461</v>
      </c>
      <c r="AF57" s="10">
        <f t="shared" si="11"/>
        <v>49591.287005942184</v>
      </c>
      <c r="AG57" s="10">
        <f t="shared" si="12"/>
        <v>7.2759576141834259E-12</v>
      </c>
      <c r="AI57">
        <f t="shared" si="13"/>
        <v>23</v>
      </c>
      <c r="AJ57">
        <f t="shared" si="14"/>
        <v>49591.287005942228</v>
      </c>
      <c r="AK57">
        <f t="shared" si="15"/>
        <v>49591.287005942228</v>
      </c>
      <c r="AL57">
        <f t="shared" si="16"/>
        <v>49591.287005942184</v>
      </c>
      <c r="AM57">
        <f t="shared" si="17"/>
        <v>23</v>
      </c>
      <c r="AN57">
        <f t="shared" si="18"/>
        <v>2451.5109510633406</v>
      </c>
      <c r="AO57">
        <f t="shared" si="19"/>
        <v>2451.5109510633406</v>
      </c>
      <c r="AP57">
        <f t="shared" si="20"/>
        <v>2451.5109510633461</v>
      </c>
    </row>
    <row r="58" spans="1:42">
      <c r="A58">
        <f t="shared" si="21"/>
        <v>24</v>
      </c>
      <c r="B58" s="10">
        <f t="shared" si="22"/>
        <v>49591.287005942228</v>
      </c>
      <c r="C58" s="10">
        <f>IF(OR(B58&lt;=0,A58&gt;Financiamento_EV!$C$7),0,B58*Financiamento_EV!$C$9)</f>
        <v>0</v>
      </c>
      <c r="D58" s="10">
        <f t="shared" si="0"/>
        <v>49591.287005942228</v>
      </c>
      <c r="E58" s="10">
        <f>IF(D58&lt;=0,0,D58*Financiamento_EV!$C$6)</f>
        <v>843.0518791010179</v>
      </c>
      <c r="F58" s="10">
        <f>IF(D58&lt;=0,0,IF(Financiamento_EV!$C$6=0,D58/(Financiamento_EV!$C$7-A58+1),D58*Financiamento_EV!$C$6/(1-(1+Financiamento_EV!$C$6)^(-(Financiamento_EV!$C$7-A58+1)))))</f>
        <v>2451.5109510633392</v>
      </c>
      <c r="G58" s="10">
        <f t="shared" si="1"/>
        <v>1608.4590719623213</v>
      </c>
      <c r="H58" s="10">
        <f t="shared" si="2"/>
        <v>47982.827933979905</v>
      </c>
      <c r="I58" s="10">
        <f t="shared" si="3"/>
        <v>2451.5109510633392</v>
      </c>
      <c r="K58">
        <f t="shared" si="23"/>
        <v>24</v>
      </c>
      <c r="L58" s="10">
        <f t="shared" si="24"/>
        <v>49591.287005942228</v>
      </c>
      <c r="M58" s="10">
        <f>IF(OR(L58&lt;=0,K58&gt;Financiamento_EV!$C$7),0,L58*Financiamento_EV!$C$9)</f>
        <v>0</v>
      </c>
      <c r="N58" s="10">
        <f t="shared" si="4"/>
        <v>49591.287005942228</v>
      </c>
      <c r="O58" s="10">
        <f>IF(N58&lt;=0,0,N58*Financiamento_EV!$C$6)</f>
        <v>843.0518791010179</v>
      </c>
      <c r="P58" s="10">
        <f>IF(N58&lt;=0,0,IF(Financiamento_EV!$C$6=0,N58/(Financiamento_EV!$C$7-K58+1),N58*Financiamento_EV!$C$6/(1-(1+Financiamento_EV!$C$6)^(-(Financiamento_EV!$C$7-K58+1)))))</f>
        <v>2451.5109510633392</v>
      </c>
      <c r="Q58" s="10">
        <f t="shared" si="5"/>
        <v>1608.4590719623213</v>
      </c>
      <c r="R58" s="10">
        <f>IF(N58&lt;=0,0,MIN(IF(ISNUMBER(INDEX(Financiamento_EV!$I$17:$I$136,K58)),MAX(0,INDEX(Financiamento_EV!$I$17:$I$136,K58)),IF(K58&gt;=Financiamento_EV!$C$11,Financiamento_EV!$C$10,0)),MAX(0,N58-Q58)))</f>
        <v>0</v>
      </c>
      <c r="S58" s="10">
        <f t="shared" si="6"/>
        <v>47982.827933979905</v>
      </c>
      <c r="T58" s="10">
        <f t="shared" si="7"/>
        <v>2451.5109510633392</v>
      </c>
      <c r="V58">
        <f t="shared" si="25"/>
        <v>24</v>
      </c>
      <c r="W58" s="10">
        <f t="shared" si="26"/>
        <v>49591.287005942184</v>
      </c>
      <c r="X58" s="10">
        <f>IF(OR(W58&lt;=0,V58&gt;Financiamento_EV!$C$7),0,W58*Financiamento_EV!$C$9)</f>
        <v>0</v>
      </c>
      <c r="Y58" s="10">
        <f t="shared" si="8"/>
        <v>49591.287005942184</v>
      </c>
      <c r="Z58" s="10">
        <f>IF(Y58&lt;=0,0,Y58*Financiamento_EV!$C$6)</f>
        <v>843.05187910101722</v>
      </c>
      <c r="AA58" s="10">
        <f>IF(Y58&lt;=0,0,IF(Financiamento_EV!$C$6=0,Y58/(Financiamento_EV!$C$7-V58+1),Y58*Financiamento_EV!$C$6/(1-(1+Financiamento_EV!$C$6)^(-(Financiamento_EV!$C$7-V58+1)))))</f>
        <v>2451.5109510633374</v>
      </c>
      <c r="AB58" s="10">
        <f t="shared" si="9"/>
        <v>1608.4590719623202</v>
      </c>
      <c r="AC58" s="10">
        <f>IF(Y58&lt;=0,0,MIN(IF(ISNUMBER(INDEX(Financiamento_EV!$I$17:$I$136,V58)),MAX(0,INDEX(Financiamento_EV!$I$17:$I$136,V58)),IF(V58&gt;=Financiamento_EV!$C$11,Financiamento_EV!$C$10,0)),MAX(0,Y58-AB58)))</f>
        <v>0</v>
      </c>
      <c r="AD58" s="10">
        <f>IF(OR(Y58&lt;=0,V58&lt;Financiamento_EV!$C$11),0,MIN(MAX(0,Financiamento_EV!$F$5-AA58),MAX(0,Y58-AB58-AC58)))</f>
        <v>8.6401996668428183E-12</v>
      </c>
      <c r="AE58" s="10">
        <f t="shared" si="10"/>
        <v>2451.5109510633461</v>
      </c>
      <c r="AF58" s="10">
        <f t="shared" si="11"/>
        <v>47982.827933979854</v>
      </c>
      <c r="AG58" s="10">
        <f t="shared" si="12"/>
        <v>8.6401996668428183E-12</v>
      </c>
      <c r="AI58">
        <f t="shared" si="13"/>
        <v>24</v>
      </c>
      <c r="AJ58">
        <f t="shared" si="14"/>
        <v>47982.827933979905</v>
      </c>
      <c r="AK58">
        <f t="shared" si="15"/>
        <v>47982.827933979905</v>
      </c>
      <c r="AL58">
        <f t="shared" si="16"/>
        <v>47982.827933979854</v>
      </c>
      <c r="AM58">
        <f t="shared" si="17"/>
        <v>24</v>
      </c>
      <c r="AN58">
        <f t="shared" si="18"/>
        <v>2451.5109510633392</v>
      </c>
      <c r="AO58">
        <f t="shared" si="19"/>
        <v>2451.5109510633392</v>
      </c>
      <c r="AP58">
        <f t="shared" si="20"/>
        <v>2451.5109510633461</v>
      </c>
    </row>
    <row r="59" spans="1:42">
      <c r="A59">
        <f t="shared" si="21"/>
        <v>25</v>
      </c>
      <c r="B59" s="10">
        <f t="shared" si="22"/>
        <v>47982.827933979905</v>
      </c>
      <c r="C59" s="10">
        <f>IF(OR(B59&lt;=0,A59&gt;Financiamento_EV!$C$7),0,B59*Financiamento_EV!$C$9)</f>
        <v>0</v>
      </c>
      <c r="D59" s="10">
        <f t="shared" si="0"/>
        <v>47982.827933979905</v>
      </c>
      <c r="E59" s="10">
        <f>IF(D59&lt;=0,0,D59*Financiamento_EV!$C$6)</f>
        <v>815.70807487765842</v>
      </c>
      <c r="F59" s="10">
        <f>IF(D59&lt;=0,0,IF(Financiamento_EV!$C$6=0,D59/(Financiamento_EV!$C$7-A59+1),D59*Financiamento_EV!$C$6/(1-(1+Financiamento_EV!$C$6)^(-(Financiamento_EV!$C$7-A59+1)))))</f>
        <v>2451.5109510633392</v>
      </c>
      <c r="G59" s="10">
        <f t="shared" si="1"/>
        <v>1635.8028761856808</v>
      </c>
      <c r="H59" s="10">
        <f t="shared" si="2"/>
        <v>46347.025057794221</v>
      </c>
      <c r="I59" s="10">
        <f t="shared" si="3"/>
        <v>2451.5109510633392</v>
      </c>
      <c r="K59">
        <f t="shared" si="23"/>
        <v>25</v>
      </c>
      <c r="L59" s="10">
        <f t="shared" si="24"/>
        <v>47982.827933979905</v>
      </c>
      <c r="M59" s="10">
        <f>IF(OR(L59&lt;=0,K59&gt;Financiamento_EV!$C$7),0,L59*Financiamento_EV!$C$9)</f>
        <v>0</v>
      </c>
      <c r="N59" s="10">
        <f t="shared" si="4"/>
        <v>47982.827933979905</v>
      </c>
      <c r="O59" s="10">
        <f>IF(N59&lt;=0,0,N59*Financiamento_EV!$C$6)</f>
        <v>815.70807487765842</v>
      </c>
      <c r="P59" s="10">
        <f>IF(N59&lt;=0,0,IF(Financiamento_EV!$C$6=0,N59/(Financiamento_EV!$C$7-K59+1),N59*Financiamento_EV!$C$6/(1-(1+Financiamento_EV!$C$6)^(-(Financiamento_EV!$C$7-K59+1)))))</f>
        <v>2451.5109510633392</v>
      </c>
      <c r="Q59" s="10">
        <f t="shared" si="5"/>
        <v>1635.8028761856808</v>
      </c>
      <c r="R59" s="10">
        <f>IF(N59&lt;=0,0,MIN(IF(ISNUMBER(INDEX(Financiamento_EV!$I$17:$I$136,K59)),MAX(0,INDEX(Financiamento_EV!$I$17:$I$136,K59)),IF(K59&gt;=Financiamento_EV!$C$11,Financiamento_EV!$C$10,0)),MAX(0,N59-Q59)))</f>
        <v>0</v>
      </c>
      <c r="S59" s="10">
        <f t="shared" si="6"/>
        <v>46347.025057794221</v>
      </c>
      <c r="T59" s="10">
        <f t="shared" si="7"/>
        <v>2451.5109510633392</v>
      </c>
      <c r="V59">
        <f t="shared" si="25"/>
        <v>25</v>
      </c>
      <c r="W59" s="10">
        <f t="shared" si="26"/>
        <v>47982.827933979854</v>
      </c>
      <c r="X59" s="10">
        <f>IF(OR(W59&lt;=0,V59&gt;Financiamento_EV!$C$7),0,W59*Financiamento_EV!$C$9)</f>
        <v>0</v>
      </c>
      <c r="Y59" s="10">
        <f t="shared" si="8"/>
        <v>47982.827933979854</v>
      </c>
      <c r="Z59" s="10">
        <f>IF(Y59&lt;=0,0,Y59*Financiamento_EV!$C$6)</f>
        <v>815.70807487765762</v>
      </c>
      <c r="AA59" s="10">
        <f>IF(Y59&lt;=0,0,IF(Financiamento_EV!$C$6=0,Y59/(Financiamento_EV!$C$7-V59+1),Y59*Financiamento_EV!$C$6/(1-(1+Financiamento_EV!$C$6)^(-(Financiamento_EV!$C$7-V59+1)))))</f>
        <v>2451.510951063337</v>
      </c>
      <c r="AB59" s="10">
        <f t="shared" si="9"/>
        <v>1635.8028761856795</v>
      </c>
      <c r="AC59" s="10">
        <f>IF(Y59&lt;=0,0,MIN(IF(ISNUMBER(INDEX(Financiamento_EV!$I$17:$I$136,V59)),MAX(0,INDEX(Financiamento_EV!$I$17:$I$136,V59)),IF(V59&gt;=Financiamento_EV!$C$11,Financiamento_EV!$C$10,0)),MAX(0,Y59-AB59)))</f>
        <v>0</v>
      </c>
      <c r="AD59" s="10">
        <f>IF(OR(Y59&lt;=0,V59&lt;Financiamento_EV!$C$11),0,MIN(MAX(0,Financiamento_EV!$F$5-AA59),MAX(0,Y59-AB59-AC59)))</f>
        <v>9.0949470177292824E-12</v>
      </c>
      <c r="AE59" s="10">
        <f t="shared" si="10"/>
        <v>2451.5109510633461</v>
      </c>
      <c r="AF59" s="10">
        <f t="shared" si="11"/>
        <v>46347.02505779417</v>
      </c>
      <c r="AG59" s="10">
        <f t="shared" si="12"/>
        <v>9.0949470177292824E-12</v>
      </c>
      <c r="AI59">
        <f t="shared" si="13"/>
        <v>25</v>
      </c>
      <c r="AJ59">
        <f t="shared" si="14"/>
        <v>46347.025057794221</v>
      </c>
      <c r="AK59">
        <f t="shared" si="15"/>
        <v>46347.025057794221</v>
      </c>
      <c r="AL59">
        <f t="shared" si="16"/>
        <v>46347.02505779417</v>
      </c>
      <c r="AM59">
        <f t="shared" si="17"/>
        <v>25</v>
      </c>
      <c r="AN59">
        <f t="shared" si="18"/>
        <v>2451.5109510633392</v>
      </c>
      <c r="AO59">
        <f t="shared" si="19"/>
        <v>2451.5109510633392</v>
      </c>
      <c r="AP59">
        <f t="shared" si="20"/>
        <v>2451.5109510633461</v>
      </c>
    </row>
    <row r="60" spans="1:42">
      <c r="A60">
        <f t="shared" si="21"/>
        <v>26</v>
      </c>
      <c r="B60" s="10">
        <f t="shared" si="22"/>
        <v>46347.025057794221</v>
      </c>
      <c r="C60" s="10">
        <f>IF(OR(B60&lt;=0,A60&gt;Financiamento_EV!$C$7),0,B60*Financiamento_EV!$C$9)</f>
        <v>0</v>
      </c>
      <c r="D60" s="10">
        <f t="shared" si="0"/>
        <v>46347.025057794221</v>
      </c>
      <c r="E60" s="10">
        <f>IF(D60&lt;=0,0,D60*Financiamento_EV!$C$6)</f>
        <v>787.89942598250184</v>
      </c>
      <c r="F60" s="10">
        <f>IF(D60&lt;=0,0,IF(Financiamento_EV!$C$6=0,D60/(Financiamento_EV!$C$7-A60+1),D60*Financiamento_EV!$C$6/(1-(1+Financiamento_EV!$C$6)^(-(Financiamento_EV!$C$7-A60+1)))))</f>
        <v>2451.5109510633397</v>
      </c>
      <c r="G60" s="10">
        <f t="shared" si="1"/>
        <v>1663.611525080838</v>
      </c>
      <c r="H60" s="10">
        <f t="shared" si="2"/>
        <v>44683.413532713384</v>
      </c>
      <c r="I60" s="10">
        <f t="shared" si="3"/>
        <v>2451.5109510633397</v>
      </c>
      <c r="K60">
        <f t="shared" si="23"/>
        <v>26</v>
      </c>
      <c r="L60" s="10">
        <f t="shared" si="24"/>
        <v>46347.025057794221</v>
      </c>
      <c r="M60" s="10">
        <f>IF(OR(L60&lt;=0,K60&gt;Financiamento_EV!$C$7),0,L60*Financiamento_EV!$C$9)</f>
        <v>0</v>
      </c>
      <c r="N60" s="10">
        <f t="shared" si="4"/>
        <v>46347.025057794221</v>
      </c>
      <c r="O60" s="10">
        <f>IF(N60&lt;=0,0,N60*Financiamento_EV!$C$6)</f>
        <v>787.89942598250184</v>
      </c>
      <c r="P60" s="10">
        <f>IF(N60&lt;=0,0,IF(Financiamento_EV!$C$6=0,N60/(Financiamento_EV!$C$7-K60+1),N60*Financiamento_EV!$C$6/(1-(1+Financiamento_EV!$C$6)^(-(Financiamento_EV!$C$7-K60+1)))))</f>
        <v>2451.5109510633397</v>
      </c>
      <c r="Q60" s="10">
        <f t="shared" si="5"/>
        <v>1663.611525080838</v>
      </c>
      <c r="R60" s="10">
        <f>IF(N60&lt;=0,0,MIN(IF(ISNUMBER(INDEX(Financiamento_EV!$I$17:$I$136,K60)),MAX(0,INDEX(Financiamento_EV!$I$17:$I$136,K60)),IF(K60&gt;=Financiamento_EV!$C$11,Financiamento_EV!$C$10,0)),MAX(0,N60-Q60)))</f>
        <v>0</v>
      </c>
      <c r="S60" s="10">
        <f t="shared" si="6"/>
        <v>44683.413532713384</v>
      </c>
      <c r="T60" s="10">
        <f t="shared" si="7"/>
        <v>2451.5109510633397</v>
      </c>
      <c r="V60">
        <f t="shared" si="25"/>
        <v>26</v>
      </c>
      <c r="W60" s="10">
        <f t="shared" si="26"/>
        <v>46347.02505779417</v>
      </c>
      <c r="X60" s="10">
        <f>IF(OR(W60&lt;=0,V60&gt;Financiamento_EV!$C$7),0,W60*Financiamento_EV!$C$9)</f>
        <v>0</v>
      </c>
      <c r="Y60" s="10">
        <f t="shared" si="8"/>
        <v>46347.02505779417</v>
      </c>
      <c r="Z60" s="10">
        <f>IF(Y60&lt;=0,0,Y60*Financiamento_EV!$C$6)</f>
        <v>787.89942598250093</v>
      </c>
      <c r="AA60" s="10">
        <f>IF(Y60&lt;=0,0,IF(Financiamento_EV!$C$6=0,Y60/(Financiamento_EV!$C$7-V60+1),Y60*Financiamento_EV!$C$6/(1-(1+Financiamento_EV!$C$6)^(-(Financiamento_EV!$C$7-V60+1)))))</f>
        <v>2451.510951063337</v>
      </c>
      <c r="AB60" s="10">
        <f t="shared" si="9"/>
        <v>1663.6115250808361</v>
      </c>
      <c r="AC60" s="10">
        <f>IF(Y60&lt;=0,0,MIN(IF(ISNUMBER(INDEX(Financiamento_EV!$I$17:$I$136,V60)),MAX(0,INDEX(Financiamento_EV!$I$17:$I$136,V60)),IF(V60&gt;=Financiamento_EV!$C$11,Financiamento_EV!$C$10,0)),MAX(0,Y60-AB60)))</f>
        <v>0</v>
      </c>
      <c r="AD60" s="10">
        <f>IF(OR(Y60&lt;=0,V60&lt;Financiamento_EV!$C$11),0,MIN(MAX(0,Financiamento_EV!$F$5-AA60),MAX(0,Y60-AB60-AC60)))</f>
        <v>9.0949470177292824E-12</v>
      </c>
      <c r="AE60" s="10">
        <f t="shared" si="10"/>
        <v>2451.5109510633461</v>
      </c>
      <c r="AF60" s="10">
        <f t="shared" si="11"/>
        <v>44683.413532713326</v>
      </c>
      <c r="AG60" s="10">
        <f t="shared" si="12"/>
        <v>9.0949470177292824E-12</v>
      </c>
      <c r="AI60">
        <f t="shared" si="13"/>
        <v>26</v>
      </c>
      <c r="AJ60">
        <f t="shared" si="14"/>
        <v>44683.413532713384</v>
      </c>
      <c r="AK60">
        <f t="shared" si="15"/>
        <v>44683.413532713384</v>
      </c>
      <c r="AL60">
        <f t="shared" si="16"/>
        <v>44683.413532713326</v>
      </c>
      <c r="AM60">
        <f t="shared" si="17"/>
        <v>26</v>
      </c>
      <c r="AN60">
        <f t="shared" si="18"/>
        <v>2451.5109510633397</v>
      </c>
      <c r="AO60">
        <f t="shared" si="19"/>
        <v>2451.5109510633397</v>
      </c>
      <c r="AP60">
        <f t="shared" si="20"/>
        <v>2451.5109510633461</v>
      </c>
    </row>
    <row r="61" spans="1:42">
      <c r="A61">
        <f t="shared" si="21"/>
        <v>27</v>
      </c>
      <c r="B61" s="10">
        <f t="shared" si="22"/>
        <v>44683.413532713384</v>
      </c>
      <c r="C61" s="10">
        <f>IF(OR(B61&lt;=0,A61&gt;Financiamento_EV!$C$7),0,B61*Financiamento_EV!$C$9)</f>
        <v>0</v>
      </c>
      <c r="D61" s="10">
        <f t="shared" si="0"/>
        <v>44683.413532713384</v>
      </c>
      <c r="E61" s="10">
        <f>IF(D61&lt;=0,0,D61*Financiamento_EV!$C$6)</f>
        <v>759.61803005612762</v>
      </c>
      <c r="F61" s="10">
        <f>IF(D61&lt;=0,0,IF(Financiamento_EV!$C$6=0,D61/(Financiamento_EV!$C$7-A61+1),D61*Financiamento_EV!$C$6/(1-(1+Financiamento_EV!$C$6)^(-(Financiamento_EV!$C$7-A61+1)))))</f>
        <v>2451.5109510633388</v>
      </c>
      <c r="G61" s="10">
        <f t="shared" si="1"/>
        <v>1691.892921007211</v>
      </c>
      <c r="H61" s="10">
        <f t="shared" si="2"/>
        <v>42991.520611706175</v>
      </c>
      <c r="I61" s="10">
        <f t="shared" si="3"/>
        <v>2451.5109510633388</v>
      </c>
      <c r="K61">
        <f t="shared" si="23"/>
        <v>27</v>
      </c>
      <c r="L61" s="10">
        <f t="shared" si="24"/>
        <v>44683.413532713384</v>
      </c>
      <c r="M61" s="10">
        <f>IF(OR(L61&lt;=0,K61&gt;Financiamento_EV!$C$7),0,L61*Financiamento_EV!$C$9)</f>
        <v>0</v>
      </c>
      <c r="N61" s="10">
        <f t="shared" si="4"/>
        <v>44683.413532713384</v>
      </c>
      <c r="O61" s="10">
        <f>IF(N61&lt;=0,0,N61*Financiamento_EV!$C$6)</f>
        <v>759.61803005612762</v>
      </c>
      <c r="P61" s="10">
        <f>IF(N61&lt;=0,0,IF(Financiamento_EV!$C$6=0,N61/(Financiamento_EV!$C$7-K61+1),N61*Financiamento_EV!$C$6/(1-(1+Financiamento_EV!$C$6)^(-(Financiamento_EV!$C$7-K61+1)))))</f>
        <v>2451.5109510633388</v>
      </c>
      <c r="Q61" s="10">
        <f t="shared" si="5"/>
        <v>1691.892921007211</v>
      </c>
      <c r="R61" s="10">
        <f>IF(N61&lt;=0,0,MIN(IF(ISNUMBER(INDEX(Financiamento_EV!$I$17:$I$136,K61)),MAX(0,INDEX(Financiamento_EV!$I$17:$I$136,K61)),IF(K61&gt;=Financiamento_EV!$C$11,Financiamento_EV!$C$10,0)),MAX(0,N61-Q61)))</f>
        <v>0</v>
      </c>
      <c r="S61" s="10">
        <f t="shared" si="6"/>
        <v>42991.520611706175</v>
      </c>
      <c r="T61" s="10">
        <f t="shared" si="7"/>
        <v>2451.5109510633388</v>
      </c>
      <c r="V61">
        <f t="shared" si="25"/>
        <v>27</v>
      </c>
      <c r="W61" s="10">
        <f t="shared" si="26"/>
        <v>44683.413532713326</v>
      </c>
      <c r="X61" s="10">
        <f>IF(OR(W61&lt;=0,V61&gt;Financiamento_EV!$C$7),0,W61*Financiamento_EV!$C$9)</f>
        <v>0</v>
      </c>
      <c r="Y61" s="10">
        <f t="shared" si="8"/>
        <v>44683.413532713326</v>
      </c>
      <c r="Z61" s="10">
        <f>IF(Y61&lt;=0,0,Y61*Financiamento_EV!$C$6)</f>
        <v>759.6180300561266</v>
      </c>
      <c r="AA61" s="10">
        <f>IF(Y61&lt;=0,0,IF(Financiamento_EV!$C$6=0,Y61/(Financiamento_EV!$C$7-V61+1),Y61*Financiamento_EV!$C$6/(1-(1+Financiamento_EV!$C$6)^(-(Financiamento_EV!$C$7-V61+1)))))</f>
        <v>2451.5109510633351</v>
      </c>
      <c r="AB61" s="10">
        <f t="shared" si="9"/>
        <v>1691.8929210072085</v>
      </c>
      <c r="AC61" s="10">
        <f>IF(Y61&lt;=0,0,MIN(IF(ISNUMBER(INDEX(Financiamento_EV!$I$17:$I$136,V61)),MAX(0,INDEX(Financiamento_EV!$I$17:$I$136,V61)),IF(V61&gt;=Financiamento_EV!$C$11,Financiamento_EV!$C$10,0)),MAX(0,Y61-AB61)))</f>
        <v>0</v>
      </c>
      <c r="AD61" s="10">
        <f>IF(OR(Y61&lt;=0,V61&lt;Financiamento_EV!$C$11),0,MIN(MAX(0,Financiamento_EV!$F$5-AA61),MAX(0,Y61-AB61-AC61)))</f>
        <v>1.0913936421275139E-11</v>
      </c>
      <c r="AE61" s="10">
        <f t="shared" si="10"/>
        <v>2451.5109510633461</v>
      </c>
      <c r="AF61" s="10">
        <f t="shared" si="11"/>
        <v>42991.520611706102</v>
      </c>
      <c r="AG61" s="10">
        <f t="shared" si="12"/>
        <v>1.0913936421275139E-11</v>
      </c>
      <c r="AI61">
        <f t="shared" si="13"/>
        <v>27</v>
      </c>
      <c r="AJ61">
        <f t="shared" si="14"/>
        <v>42991.520611706175</v>
      </c>
      <c r="AK61">
        <f t="shared" si="15"/>
        <v>42991.520611706175</v>
      </c>
      <c r="AL61">
        <f t="shared" si="16"/>
        <v>42991.520611706102</v>
      </c>
      <c r="AM61">
        <f t="shared" si="17"/>
        <v>27</v>
      </c>
      <c r="AN61">
        <f t="shared" si="18"/>
        <v>2451.5109510633388</v>
      </c>
      <c r="AO61">
        <f t="shared" si="19"/>
        <v>2451.5109510633388</v>
      </c>
      <c r="AP61">
        <f t="shared" si="20"/>
        <v>2451.5109510633461</v>
      </c>
    </row>
    <row r="62" spans="1:42">
      <c r="A62">
        <f t="shared" si="21"/>
        <v>28</v>
      </c>
      <c r="B62" s="10">
        <f t="shared" si="22"/>
        <v>42991.520611706175</v>
      </c>
      <c r="C62" s="10">
        <f>IF(OR(B62&lt;=0,A62&gt;Financiamento_EV!$C$7),0,B62*Financiamento_EV!$C$9)</f>
        <v>0</v>
      </c>
      <c r="D62" s="10">
        <f t="shared" si="0"/>
        <v>42991.520611706175</v>
      </c>
      <c r="E62" s="10">
        <f>IF(D62&lt;=0,0,D62*Financiamento_EV!$C$6)</f>
        <v>730.85585039900502</v>
      </c>
      <c r="F62" s="10">
        <f>IF(D62&lt;=0,0,IF(Financiamento_EV!$C$6=0,D62/(Financiamento_EV!$C$7-A62+1),D62*Financiamento_EV!$C$6/(1-(1+Financiamento_EV!$C$6)^(-(Financiamento_EV!$C$7-A62+1)))))</f>
        <v>2451.5109510633379</v>
      </c>
      <c r="G62" s="10">
        <f t="shared" si="1"/>
        <v>1720.6551006643328</v>
      </c>
      <c r="H62" s="10">
        <f t="shared" si="2"/>
        <v>41270.86551104184</v>
      </c>
      <c r="I62" s="10">
        <f t="shared" si="3"/>
        <v>2451.5109510633379</v>
      </c>
      <c r="K62">
        <f t="shared" si="23"/>
        <v>28</v>
      </c>
      <c r="L62" s="10">
        <f t="shared" si="24"/>
        <v>42991.520611706175</v>
      </c>
      <c r="M62" s="10">
        <f>IF(OR(L62&lt;=0,K62&gt;Financiamento_EV!$C$7),0,L62*Financiamento_EV!$C$9)</f>
        <v>0</v>
      </c>
      <c r="N62" s="10">
        <f t="shared" si="4"/>
        <v>42991.520611706175</v>
      </c>
      <c r="O62" s="10">
        <f>IF(N62&lt;=0,0,N62*Financiamento_EV!$C$6)</f>
        <v>730.85585039900502</v>
      </c>
      <c r="P62" s="10">
        <f>IF(N62&lt;=0,0,IF(Financiamento_EV!$C$6=0,N62/(Financiamento_EV!$C$7-K62+1),N62*Financiamento_EV!$C$6/(1-(1+Financiamento_EV!$C$6)^(-(Financiamento_EV!$C$7-K62+1)))))</f>
        <v>2451.5109510633379</v>
      </c>
      <c r="Q62" s="10">
        <f t="shared" si="5"/>
        <v>1720.6551006643328</v>
      </c>
      <c r="R62" s="10">
        <f>IF(N62&lt;=0,0,MIN(IF(ISNUMBER(INDEX(Financiamento_EV!$I$17:$I$136,K62)),MAX(0,INDEX(Financiamento_EV!$I$17:$I$136,K62)),IF(K62&gt;=Financiamento_EV!$C$11,Financiamento_EV!$C$10,0)),MAX(0,N62-Q62)))</f>
        <v>0</v>
      </c>
      <c r="S62" s="10">
        <f t="shared" si="6"/>
        <v>41270.86551104184</v>
      </c>
      <c r="T62" s="10">
        <f t="shared" si="7"/>
        <v>2451.5109510633379</v>
      </c>
      <c r="V62">
        <f t="shared" si="25"/>
        <v>28</v>
      </c>
      <c r="W62" s="10">
        <f t="shared" si="26"/>
        <v>42991.520611706102</v>
      </c>
      <c r="X62" s="10">
        <f>IF(OR(W62&lt;=0,V62&gt;Financiamento_EV!$C$7),0,W62*Financiamento_EV!$C$9)</f>
        <v>0</v>
      </c>
      <c r="Y62" s="10">
        <f t="shared" si="8"/>
        <v>42991.520611706102</v>
      </c>
      <c r="Z62" s="10">
        <f>IF(Y62&lt;=0,0,Y62*Financiamento_EV!$C$6)</f>
        <v>730.85585039900377</v>
      </c>
      <c r="AA62" s="10">
        <f>IF(Y62&lt;=0,0,IF(Financiamento_EV!$C$6=0,Y62/(Financiamento_EV!$C$7-V62+1),Y62*Financiamento_EV!$C$6/(1-(1+Financiamento_EV!$C$6)^(-(Financiamento_EV!$C$7-V62+1)))))</f>
        <v>2451.5109510633338</v>
      </c>
      <c r="AB62" s="10">
        <f t="shared" si="9"/>
        <v>1720.6551006643299</v>
      </c>
      <c r="AC62" s="10">
        <f>IF(Y62&lt;=0,0,MIN(IF(ISNUMBER(INDEX(Financiamento_EV!$I$17:$I$136,V62)),MAX(0,INDEX(Financiamento_EV!$I$17:$I$136,V62)),IF(V62&gt;=Financiamento_EV!$C$11,Financiamento_EV!$C$10,0)),MAX(0,Y62-AB62)))</f>
        <v>0</v>
      </c>
      <c r="AD62" s="10">
        <f>IF(OR(Y62&lt;=0,V62&lt;Financiamento_EV!$C$11),0,MIN(MAX(0,Financiamento_EV!$F$5-AA62),MAX(0,Y62-AB62-AC62)))</f>
        <v>1.2278178473934531E-11</v>
      </c>
      <c r="AE62" s="10">
        <f t="shared" si="10"/>
        <v>2451.5109510633461</v>
      </c>
      <c r="AF62" s="10">
        <f t="shared" si="11"/>
        <v>41270.86551104176</v>
      </c>
      <c r="AG62" s="10">
        <f t="shared" si="12"/>
        <v>1.2278178473934531E-11</v>
      </c>
      <c r="AI62">
        <f t="shared" si="13"/>
        <v>28</v>
      </c>
      <c r="AJ62">
        <f t="shared" si="14"/>
        <v>41270.86551104184</v>
      </c>
      <c r="AK62">
        <f t="shared" si="15"/>
        <v>41270.86551104184</v>
      </c>
      <c r="AL62">
        <f t="shared" si="16"/>
        <v>41270.86551104176</v>
      </c>
      <c r="AM62">
        <f t="shared" si="17"/>
        <v>28</v>
      </c>
      <c r="AN62">
        <f t="shared" si="18"/>
        <v>2451.5109510633379</v>
      </c>
      <c r="AO62">
        <f t="shared" si="19"/>
        <v>2451.5109510633379</v>
      </c>
      <c r="AP62">
        <f t="shared" si="20"/>
        <v>2451.5109510633461</v>
      </c>
    </row>
    <row r="63" spans="1:42">
      <c r="A63">
        <f t="shared" si="21"/>
        <v>29</v>
      </c>
      <c r="B63" s="10">
        <f t="shared" si="22"/>
        <v>41270.86551104184</v>
      </c>
      <c r="C63" s="10">
        <f>IF(OR(B63&lt;=0,A63&gt;Financiamento_EV!$C$7),0,B63*Financiamento_EV!$C$9)</f>
        <v>0</v>
      </c>
      <c r="D63" s="10">
        <f t="shared" si="0"/>
        <v>41270.86551104184</v>
      </c>
      <c r="E63" s="10">
        <f>IF(D63&lt;=0,0,D63*Financiamento_EV!$C$6)</f>
        <v>701.6047136877113</v>
      </c>
      <c r="F63" s="10">
        <f>IF(D63&lt;=0,0,IF(Financiamento_EV!$C$6=0,D63/(Financiamento_EV!$C$7-A63+1),D63*Financiamento_EV!$C$6/(1-(1+Financiamento_EV!$C$6)^(-(Financiamento_EV!$C$7-A63+1)))))</f>
        <v>2451.5109510633383</v>
      </c>
      <c r="G63" s="10">
        <f t="shared" si="1"/>
        <v>1749.9062373756269</v>
      </c>
      <c r="H63" s="10">
        <f t="shared" si="2"/>
        <v>39520.959273666216</v>
      </c>
      <c r="I63" s="10">
        <f t="shared" si="3"/>
        <v>2451.5109510633383</v>
      </c>
      <c r="K63">
        <f t="shared" si="23"/>
        <v>29</v>
      </c>
      <c r="L63" s="10">
        <f t="shared" si="24"/>
        <v>41270.86551104184</v>
      </c>
      <c r="M63" s="10">
        <f>IF(OR(L63&lt;=0,K63&gt;Financiamento_EV!$C$7),0,L63*Financiamento_EV!$C$9)</f>
        <v>0</v>
      </c>
      <c r="N63" s="10">
        <f t="shared" si="4"/>
        <v>41270.86551104184</v>
      </c>
      <c r="O63" s="10">
        <f>IF(N63&lt;=0,0,N63*Financiamento_EV!$C$6)</f>
        <v>701.6047136877113</v>
      </c>
      <c r="P63" s="10">
        <f>IF(N63&lt;=0,0,IF(Financiamento_EV!$C$6=0,N63/(Financiamento_EV!$C$7-K63+1),N63*Financiamento_EV!$C$6/(1-(1+Financiamento_EV!$C$6)^(-(Financiamento_EV!$C$7-K63+1)))))</f>
        <v>2451.5109510633383</v>
      </c>
      <c r="Q63" s="10">
        <f t="shared" si="5"/>
        <v>1749.9062373756269</v>
      </c>
      <c r="R63" s="10">
        <f>IF(N63&lt;=0,0,MIN(IF(ISNUMBER(INDEX(Financiamento_EV!$I$17:$I$136,K63)),MAX(0,INDEX(Financiamento_EV!$I$17:$I$136,K63)),IF(K63&gt;=Financiamento_EV!$C$11,Financiamento_EV!$C$10,0)),MAX(0,N63-Q63)))</f>
        <v>0</v>
      </c>
      <c r="S63" s="10">
        <f t="shared" si="6"/>
        <v>39520.959273666216</v>
      </c>
      <c r="T63" s="10">
        <f t="shared" si="7"/>
        <v>2451.5109510633383</v>
      </c>
      <c r="V63">
        <f t="shared" si="25"/>
        <v>29</v>
      </c>
      <c r="W63" s="10">
        <f t="shared" si="26"/>
        <v>41270.86551104176</v>
      </c>
      <c r="X63" s="10">
        <f>IF(OR(W63&lt;=0,V63&gt;Financiamento_EV!$C$7),0,W63*Financiamento_EV!$C$9)</f>
        <v>0</v>
      </c>
      <c r="Y63" s="10">
        <f t="shared" si="8"/>
        <v>41270.86551104176</v>
      </c>
      <c r="Z63" s="10">
        <f>IF(Y63&lt;=0,0,Y63*Financiamento_EV!$C$6)</f>
        <v>701.60471368770993</v>
      </c>
      <c r="AA63" s="10">
        <f>IF(Y63&lt;=0,0,IF(Financiamento_EV!$C$6=0,Y63/(Financiamento_EV!$C$7-V63+1),Y63*Financiamento_EV!$C$6/(1-(1+Financiamento_EV!$C$6)^(-(Financiamento_EV!$C$7-V63+1)))))</f>
        <v>2451.5109510633333</v>
      </c>
      <c r="AB63" s="10">
        <f t="shared" si="9"/>
        <v>1749.9062373756233</v>
      </c>
      <c r="AC63" s="10">
        <f>IF(Y63&lt;=0,0,MIN(IF(ISNUMBER(INDEX(Financiamento_EV!$I$17:$I$136,V63)),MAX(0,INDEX(Financiamento_EV!$I$17:$I$136,V63)),IF(V63&gt;=Financiamento_EV!$C$11,Financiamento_EV!$C$10,0)),MAX(0,Y63-AB63)))</f>
        <v>0</v>
      </c>
      <c r="AD63" s="10">
        <f>IF(OR(Y63&lt;=0,V63&lt;Financiamento_EV!$C$11),0,MIN(MAX(0,Financiamento_EV!$F$5-AA63),MAX(0,Y63-AB63-AC63)))</f>
        <v>1.2732925824820995E-11</v>
      </c>
      <c r="AE63" s="10">
        <f t="shared" si="10"/>
        <v>2451.5109510633461</v>
      </c>
      <c r="AF63" s="10">
        <f t="shared" si="11"/>
        <v>39520.959273666122</v>
      </c>
      <c r="AG63" s="10">
        <f t="shared" si="12"/>
        <v>1.2732925824820995E-11</v>
      </c>
      <c r="AI63">
        <f t="shared" si="13"/>
        <v>29</v>
      </c>
      <c r="AJ63">
        <f t="shared" si="14"/>
        <v>39520.959273666216</v>
      </c>
      <c r="AK63">
        <f t="shared" si="15"/>
        <v>39520.959273666216</v>
      </c>
      <c r="AL63">
        <f t="shared" si="16"/>
        <v>39520.959273666122</v>
      </c>
      <c r="AM63">
        <f t="shared" si="17"/>
        <v>29</v>
      </c>
      <c r="AN63">
        <f t="shared" si="18"/>
        <v>2451.5109510633383</v>
      </c>
      <c r="AO63">
        <f t="shared" si="19"/>
        <v>2451.5109510633383</v>
      </c>
      <c r="AP63">
        <f t="shared" si="20"/>
        <v>2451.5109510633461</v>
      </c>
    </row>
    <row r="64" spans="1:42">
      <c r="A64">
        <f t="shared" si="21"/>
        <v>30</v>
      </c>
      <c r="B64" s="10">
        <f t="shared" si="22"/>
        <v>39520.959273666216</v>
      </c>
      <c r="C64" s="10">
        <f>IF(OR(B64&lt;=0,A64&gt;Financiamento_EV!$C$7),0,B64*Financiamento_EV!$C$9)</f>
        <v>0</v>
      </c>
      <c r="D64" s="10">
        <f t="shared" si="0"/>
        <v>39520.959273666216</v>
      </c>
      <c r="E64" s="10">
        <f>IF(D64&lt;=0,0,D64*Financiamento_EV!$C$6)</f>
        <v>671.85630765232577</v>
      </c>
      <c r="F64" s="10">
        <f>IF(D64&lt;=0,0,IF(Financiamento_EV!$C$6=0,D64/(Financiamento_EV!$C$7-A64+1),D64*Financiamento_EV!$C$6/(1-(1+Financiamento_EV!$C$6)^(-(Financiamento_EV!$C$7-A64+1)))))</f>
        <v>2451.5109510633379</v>
      </c>
      <c r="G64" s="10">
        <f t="shared" si="1"/>
        <v>1779.6546434110121</v>
      </c>
      <c r="H64" s="10">
        <f t="shared" si="2"/>
        <v>37741.304630255203</v>
      </c>
      <c r="I64" s="10">
        <f t="shared" si="3"/>
        <v>2451.5109510633379</v>
      </c>
      <c r="K64">
        <f t="shared" si="23"/>
        <v>30</v>
      </c>
      <c r="L64" s="10">
        <f t="shared" si="24"/>
        <v>39520.959273666216</v>
      </c>
      <c r="M64" s="10">
        <f>IF(OR(L64&lt;=0,K64&gt;Financiamento_EV!$C$7),0,L64*Financiamento_EV!$C$9)</f>
        <v>0</v>
      </c>
      <c r="N64" s="10">
        <f t="shared" si="4"/>
        <v>39520.959273666216</v>
      </c>
      <c r="O64" s="10">
        <f>IF(N64&lt;=0,0,N64*Financiamento_EV!$C$6)</f>
        <v>671.85630765232577</v>
      </c>
      <c r="P64" s="10">
        <f>IF(N64&lt;=0,0,IF(Financiamento_EV!$C$6=0,N64/(Financiamento_EV!$C$7-K64+1),N64*Financiamento_EV!$C$6/(1-(1+Financiamento_EV!$C$6)^(-(Financiamento_EV!$C$7-K64+1)))))</f>
        <v>2451.5109510633379</v>
      </c>
      <c r="Q64" s="10">
        <f t="shared" si="5"/>
        <v>1779.6546434110121</v>
      </c>
      <c r="R64" s="10">
        <f>IF(N64&lt;=0,0,MIN(IF(ISNUMBER(INDEX(Financiamento_EV!$I$17:$I$136,K64)),MAX(0,INDEX(Financiamento_EV!$I$17:$I$136,K64)),IF(K64&gt;=Financiamento_EV!$C$11,Financiamento_EV!$C$10,0)),MAX(0,N64-Q64)))</f>
        <v>0</v>
      </c>
      <c r="S64" s="10">
        <f t="shared" si="6"/>
        <v>37741.304630255203</v>
      </c>
      <c r="T64" s="10">
        <f t="shared" si="7"/>
        <v>2451.5109510633379</v>
      </c>
      <c r="V64">
        <f t="shared" si="25"/>
        <v>30</v>
      </c>
      <c r="W64" s="10">
        <f t="shared" si="26"/>
        <v>39520.959273666122</v>
      </c>
      <c r="X64" s="10">
        <f>IF(OR(W64&lt;=0,V64&gt;Financiamento_EV!$C$7),0,W64*Financiamento_EV!$C$9)</f>
        <v>0</v>
      </c>
      <c r="Y64" s="10">
        <f t="shared" si="8"/>
        <v>39520.959273666122</v>
      </c>
      <c r="Z64" s="10">
        <f>IF(Y64&lt;=0,0,Y64*Financiamento_EV!$C$6)</f>
        <v>671.85630765232406</v>
      </c>
      <c r="AA64" s="10">
        <f>IF(Y64&lt;=0,0,IF(Financiamento_EV!$C$6=0,Y64/(Financiamento_EV!$C$7-V64+1),Y64*Financiamento_EV!$C$6/(1-(1+Financiamento_EV!$C$6)^(-(Financiamento_EV!$C$7-V64+1)))))</f>
        <v>2451.5109510633315</v>
      </c>
      <c r="AB64" s="10">
        <f t="shared" si="9"/>
        <v>1779.6546434110073</v>
      </c>
      <c r="AC64" s="10">
        <f>IF(Y64&lt;=0,0,MIN(IF(ISNUMBER(INDEX(Financiamento_EV!$I$17:$I$136,V64)),MAX(0,INDEX(Financiamento_EV!$I$17:$I$136,V64)),IF(V64&gt;=Financiamento_EV!$C$11,Financiamento_EV!$C$10,0)),MAX(0,Y64-AB64)))</f>
        <v>0</v>
      </c>
      <c r="AD64" s="10">
        <f>IF(OR(Y64&lt;=0,V64&lt;Financiamento_EV!$C$11),0,MIN(MAX(0,Financiamento_EV!$F$5-AA64),MAX(0,Y64-AB64-AC64)))</f>
        <v>1.4551915228366852E-11</v>
      </c>
      <c r="AE64" s="10">
        <f t="shared" si="10"/>
        <v>2451.5109510633461</v>
      </c>
      <c r="AF64" s="10">
        <f t="shared" si="11"/>
        <v>37741.304630255101</v>
      </c>
      <c r="AG64" s="10">
        <f t="shared" si="12"/>
        <v>1.4551915228366852E-11</v>
      </c>
      <c r="AI64">
        <f t="shared" si="13"/>
        <v>30</v>
      </c>
      <c r="AJ64">
        <f t="shared" si="14"/>
        <v>37741.304630255203</v>
      </c>
      <c r="AK64">
        <f t="shared" si="15"/>
        <v>37741.304630255203</v>
      </c>
      <c r="AL64">
        <f t="shared" si="16"/>
        <v>37741.304630255101</v>
      </c>
      <c r="AM64">
        <f t="shared" si="17"/>
        <v>30</v>
      </c>
      <c r="AN64">
        <f t="shared" si="18"/>
        <v>2451.5109510633379</v>
      </c>
      <c r="AO64">
        <f t="shared" si="19"/>
        <v>2451.5109510633379</v>
      </c>
      <c r="AP64">
        <f t="shared" si="20"/>
        <v>2451.5109510633461</v>
      </c>
    </row>
    <row r="65" spans="1:42">
      <c r="A65">
        <f t="shared" si="21"/>
        <v>31</v>
      </c>
      <c r="B65" s="10">
        <f t="shared" si="22"/>
        <v>37741.304630255203</v>
      </c>
      <c r="C65" s="10">
        <f>IF(OR(B65&lt;=0,A65&gt;Financiamento_EV!$C$7),0,B65*Financiamento_EV!$C$9)</f>
        <v>0</v>
      </c>
      <c r="D65" s="10">
        <f t="shared" si="0"/>
        <v>37741.304630255203</v>
      </c>
      <c r="E65" s="10">
        <f>IF(D65&lt;=0,0,D65*Financiamento_EV!$C$6)</f>
        <v>641.60217871433849</v>
      </c>
      <c r="F65" s="10">
        <f>IF(D65&lt;=0,0,IF(Financiamento_EV!$C$6=0,D65/(Financiamento_EV!$C$7-A65+1),D65*Financiamento_EV!$C$6/(1-(1+Financiamento_EV!$C$6)^(-(Financiamento_EV!$C$7-A65+1)))))</f>
        <v>2451.5109510633365</v>
      </c>
      <c r="G65" s="10">
        <f t="shared" si="1"/>
        <v>1809.9087723489979</v>
      </c>
      <c r="H65" s="10">
        <f t="shared" si="2"/>
        <v>35931.395857906202</v>
      </c>
      <c r="I65" s="10">
        <f t="shared" si="3"/>
        <v>2451.5109510633365</v>
      </c>
      <c r="K65">
        <f t="shared" si="23"/>
        <v>31</v>
      </c>
      <c r="L65" s="10">
        <f t="shared" si="24"/>
        <v>37741.304630255203</v>
      </c>
      <c r="M65" s="10">
        <f>IF(OR(L65&lt;=0,K65&gt;Financiamento_EV!$C$7),0,L65*Financiamento_EV!$C$9)</f>
        <v>0</v>
      </c>
      <c r="N65" s="10">
        <f t="shared" si="4"/>
        <v>37741.304630255203</v>
      </c>
      <c r="O65" s="10">
        <f>IF(N65&lt;=0,0,N65*Financiamento_EV!$C$6)</f>
        <v>641.60217871433849</v>
      </c>
      <c r="P65" s="10">
        <f>IF(N65&lt;=0,0,IF(Financiamento_EV!$C$6=0,N65/(Financiamento_EV!$C$7-K65+1),N65*Financiamento_EV!$C$6/(1-(1+Financiamento_EV!$C$6)^(-(Financiamento_EV!$C$7-K65+1)))))</f>
        <v>2451.5109510633365</v>
      </c>
      <c r="Q65" s="10">
        <f t="shared" si="5"/>
        <v>1809.9087723489979</v>
      </c>
      <c r="R65" s="10">
        <f>IF(N65&lt;=0,0,MIN(IF(ISNUMBER(INDEX(Financiamento_EV!$I$17:$I$136,K65)),MAX(0,INDEX(Financiamento_EV!$I$17:$I$136,K65)),IF(K65&gt;=Financiamento_EV!$C$11,Financiamento_EV!$C$10,0)),MAX(0,N65-Q65)))</f>
        <v>0</v>
      </c>
      <c r="S65" s="10">
        <f t="shared" si="6"/>
        <v>35931.395857906202</v>
      </c>
      <c r="T65" s="10">
        <f t="shared" si="7"/>
        <v>2451.5109510633365</v>
      </c>
      <c r="V65">
        <f t="shared" si="25"/>
        <v>31</v>
      </c>
      <c r="W65" s="10">
        <f t="shared" si="26"/>
        <v>37741.304630255101</v>
      </c>
      <c r="X65" s="10">
        <f>IF(OR(W65&lt;=0,V65&gt;Financiamento_EV!$C$7),0,W65*Financiamento_EV!$C$9)</f>
        <v>0</v>
      </c>
      <c r="Y65" s="10">
        <f t="shared" si="8"/>
        <v>37741.304630255101</v>
      </c>
      <c r="Z65" s="10">
        <f>IF(Y65&lt;=0,0,Y65*Financiamento_EV!$C$6)</f>
        <v>641.60217871433679</v>
      </c>
      <c r="AA65" s="10">
        <f>IF(Y65&lt;=0,0,IF(Financiamento_EV!$C$6=0,Y65/(Financiamento_EV!$C$7-V65+1),Y65*Financiamento_EV!$C$6/(1-(1+Financiamento_EV!$C$6)^(-(Financiamento_EV!$C$7-V65+1)))))</f>
        <v>2451.5109510633301</v>
      </c>
      <c r="AB65" s="10">
        <f t="shared" si="9"/>
        <v>1809.9087723489934</v>
      </c>
      <c r="AC65" s="10">
        <f>IF(Y65&lt;=0,0,MIN(IF(ISNUMBER(INDEX(Financiamento_EV!$I$17:$I$136,V65)),MAX(0,INDEX(Financiamento_EV!$I$17:$I$136,V65)),IF(V65&gt;=Financiamento_EV!$C$11,Financiamento_EV!$C$10,0)),MAX(0,Y65-AB65)))</f>
        <v>0</v>
      </c>
      <c r="AD65" s="10">
        <f>IF(OR(Y65&lt;=0,V65&lt;Financiamento_EV!$C$11),0,MIN(MAX(0,Financiamento_EV!$F$5-AA65),MAX(0,Y65-AB65-AC65)))</f>
        <v>1.5916157281026244E-11</v>
      </c>
      <c r="AE65" s="10">
        <f t="shared" si="10"/>
        <v>2451.5109510633461</v>
      </c>
      <c r="AF65" s="10">
        <f t="shared" si="11"/>
        <v>35931.395857906093</v>
      </c>
      <c r="AG65" s="10">
        <f t="shared" si="12"/>
        <v>1.5916157281026244E-11</v>
      </c>
      <c r="AI65">
        <f t="shared" si="13"/>
        <v>31</v>
      </c>
      <c r="AJ65">
        <f t="shared" si="14"/>
        <v>35931.395857906202</v>
      </c>
      <c r="AK65">
        <f t="shared" si="15"/>
        <v>35931.395857906202</v>
      </c>
      <c r="AL65">
        <f t="shared" si="16"/>
        <v>35931.395857906093</v>
      </c>
      <c r="AM65">
        <f t="shared" si="17"/>
        <v>31</v>
      </c>
      <c r="AN65">
        <f t="shared" si="18"/>
        <v>2451.5109510633365</v>
      </c>
      <c r="AO65">
        <f t="shared" si="19"/>
        <v>2451.5109510633365</v>
      </c>
      <c r="AP65">
        <f t="shared" si="20"/>
        <v>2451.5109510633461</v>
      </c>
    </row>
    <row r="66" spans="1:42">
      <c r="A66">
        <f t="shared" si="21"/>
        <v>32</v>
      </c>
      <c r="B66" s="10">
        <f t="shared" si="22"/>
        <v>35931.395857906202</v>
      </c>
      <c r="C66" s="10">
        <f>IF(OR(B66&lt;=0,A66&gt;Financiamento_EV!$C$7),0,B66*Financiamento_EV!$C$9)</f>
        <v>0</v>
      </c>
      <c r="D66" s="10">
        <f t="shared" si="0"/>
        <v>35931.395857906202</v>
      </c>
      <c r="E66" s="10">
        <f>IF(D66&lt;=0,0,D66*Financiamento_EV!$C$6)</f>
        <v>610.83372958440543</v>
      </c>
      <c r="F66" s="10">
        <f>IF(D66&lt;=0,0,IF(Financiamento_EV!$C$6=0,D66/(Financiamento_EV!$C$7-A66+1),D66*Financiamento_EV!$C$6/(1-(1+Financiamento_EV!$C$6)^(-(Financiamento_EV!$C$7-A66+1)))))</f>
        <v>2451.5109510633356</v>
      </c>
      <c r="G66" s="10">
        <f t="shared" si="1"/>
        <v>1840.6772214789303</v>
      </c>
      <c r="H66" s="10">
        <f t="shared" si="2"/>
        <v>34090.718636427271</v>
      </c>
      <c r="I66" s="10">
        <f t="shared" si="3"/>
        <v>2451.5109510633356</v>
      </c>
      <c r="K66">
        <f t="shared" si="23"/>
        <v>32</v>
      </c>
      <c r="L66" s="10">
        <f t="shared" si="24"/>
        <v>35931.395857906202</v>
      </c>
      <c r="M66" s="10">
        <f>IF(OR(L66&lt;=0,K66&gt;Financiamento_EV!$C$7),0,L66*Financiamento_EV!$C$9)</f>
        <v>0</v>
      </c>
      <c r="N66" s="10">
        <f t="shared" si="4"/>
        <v>35931.395857906202</v>
      </c>
      <c r="O66" s="10">
        <f>IF(N66&lt;=0,0,N66*Financiamento_EV!$C$6)</f>
        <v>610.83372958440543</v>
      </c>
      <c r="P66" s="10">
        <f>IF(N66&lt;=0,0,IF(Financiamento_EV!$C$6=0,N66/(Financiamento_EV!$C$7-K66+1),N66*Financiamento_EV!$C$6/(1-(1+Financiamento_EV!$C$6)^(-(Financiamento_EV!$C$7-K66+1)))))</f>
        <v>2451.5109510633356</v>
      </c>
      <c r="Q66" s="10">
        <f t="shared" si="5"/>
        <v>1840.6772214789303</v>
      </c>
      <c r="R66" s="10">
        <f>IF(N66&lt;=0,0,MIN(IF(ISNUMBER(INDEX(Financiamento_EV!$I$17:$I$136,K66)),MAX(0,INDEX(Financiamento_EV!$I$17:$I$136,K66)),IF(K66&gt;=Financiamento_EV!$C$11,Financiamento_EV!$C$10,0)),MAX(0,N66-Q66)))</f>
        <v>0</v>
      </c>
      <c r="S66" s="10">
        <f t="shared" si="6"/>
        <v>34090.718636427271</v>
      </c>
      <c r="T66" s="10">
        <f t="shared" si="7"/>
        <v>2451.5109510633356</v>
      </c>
      <c r="V66">
        <f t="shared" si="25"/>
        <v>32</v>
      </c>
      <c r="W66" s="10">
        <f t="shared" si="26"/>
        <v>35931.395857906093</v>
      </c>
      <c r="X66" s="10">
        <f>IF(OR(W66&lt;=0,V66&gt;Financiamento_EV!$C$7),0,W66*Financiamento_EV!$C$9)</f>
        <v>0</v>
      </c>
      <c r="Y66" s="10">
        <f t="shared" si="8"/>
        <v>35931.395857906093</v>
      </c>
      <c r="Z66" s="10">
        <f>IF(Y66&lt;=0,0,Y66*Financiamento_EV!$C$6)</f>
        <v>610.83372958440361</v>
      </c>
      <c r="AA66" s="10">
        <f>IF(Y66&lt;=0,0,IF(Financiamento_EV!$C$6=0,Y66/(Financiamento_EV!$C$7-V66+1),Y66*Financiamento_EV!$C$6/(1-(1+Financiamento_EV!$C$6)^(-(Financiamento_EV!$C$7-V66+1)))))</f>
        <v>2451.5109510633283</v>
      </c>
      <c r="AB66" s="10">
        <f t="shared" si="9"/>
        <v>1840.6772214789248</v>
      </c>
      <c r="AC66" s="10">
        <f>IF(Y66&lt;=0,0,MIN(IF(ISNUMBER(INDEX(Financiamento_EV!$I$17:$I$136,V66)),MAX(0,INDEX(Financiamento_EV!$I$17:$I$136,V66)),IF(V66&gt;=Financiamento_EV!$C$11,Financiamento_EV!$C$10,0)),MAX(0,Y66-AB66)))</f>
        <v>0</v>
      </c>
      <c r="AD66" s="10">
        <f>IF(OR(Y66&lt;=0,V66&lt;Financiamento_EV!$C$11),0,MIN(MAX(0,Financiamento_EV!$F$5-AA66),MAX(0,Y66-AB66-AC66)))</f>
        <v>1.7735146684572101E-11</v>
      </c>
      <c r="AE66" s="10">
        <f t="shared" si="10"/>
        <v>2451.5109510633461</v>
      </c>
      <c r="AF66" s="10">
        <f t="shared" si="11"/>
        <v>34090.718636427155</v>
      </c>
      <c r="AG66" s="10">
        <f t="shared" si="12"/>
        <v>1.7735146684572101E-11</v>
      </c>
      <c r="AI66">
        <f t="shared" si="13"/>
        <v>32</v>
      </c>
      <c r="AJ66">
        <f t="shared" si="14"/>
        <v>34090.718636427271</v>
      </c>
      <c r="AK66">
        <f t="shared" si="15"/>
        <v>34090.718636427271</v>
      </c>
      <c r="AL66">
        <f t="shared" si="16"/>
        <v>34090.718636427155</v>
      </c>
      <c r="AM66">
        <f t="shared" si="17"/>
        <v>32</v>
      </c>
      <c r="AN66">
        <f t="shared" si="18"/>
        <v>2451.5109510633356</v>
      </c>
      <c r="AO66">
        <f t="shared" si="19"/>
        <v>2451.5109510633356</v>
      </c>
      <c r="AP66">
        <f t="shared" si="20"/>
        <v>2451.5109510633461</v>
      </c>
    </row>
    <row r="67" spans="1:42">
      <c r="A67">
        <f t="shared" si="21"/>
        <v>33</v>
      </c>
      <c r="B67" s="10">
        <f t="shared" si="22"/>
        <v>34090.718636427271</v>
      </c>
      <c r="C67" s="10">
        <f>IF(OR(B67&lt;=0,A67&gt;Financiamento_EV!$C$7),0,B67*Financiamento_EV!$C$9)</f>
        <v>0</v>
      </c>
      <c r="D67" s="10">
        <f t="shared" ref="D67:D98" si="27">MAX(0,B67+C67)</f>
        <v>34090.718636427271</v>
      </c>
      <c r="E67" s="10">
        <f>IF(D67&lt;=0,0,D67*Financiamento_EV!$C$6)</f>
        <v>579.54221681926367</v>
      </c>
      <c r="F67" s="10">
        <f>IF(D67&lt;=0,0,IF(Financiamento_EV!$C$6=0,D67/(Financiamento_EV!$C$7-A67+1),D67*Financiamento_EV!$C$6/(1-(1+Financiamento_EV!$C$6)^(-(Financiamento_EV!$C$7-A67+1)))))</f>
        <v>2451.5109510633342</v>
      </c>
      <c r="G67" s="10">
        <f t="shared" ref="G67:G98" si="28">MAX(0,MIN(D67,F67-E67))</f>
        <v>1871.9687342440707</v>
      </c>
      <c r="H67" s="10">
        <f t="shared" ref="H67:H98" si="29">MAX(0,D67-G67)</f>
        <v>32218.749902183201</v>
      </c>
      <c r="I67" s="10">
        <f t="shared" ref="I67:I98" si="30">IF(D67&lt;=0,0,F67)</f>
        <v>2451.5109510633342</v>
      </c>
      <c r="K67">
        <f t="shared" si="23"/>
        <v>33</v>
      </c>
      <c r="L67" s="10">
        <f t="shared" si="24"/>
        <v>34090.718636427271</v>
      </c>
      <c r="M67" s="10">
        <f>IF(OR(L67&lt;=0,K67&gt;Financiamento_EV!$C$7),0,L67*Financiamento_EV!$C$9)</f>
        <v>0</v>
      </c>
      <c r="N67" s="10">
        <f t="shared" ref="N67:N98" si="31">MAX(0,L67+M67)</f>
        <v>34090.718636427271</v>
      </c>
      <c r="O67" s="10">
        <f>IF(N67&lt;=0,0,N67*Financiamento_EV!$C$6)</f>
        <v>579.54221681926367</v>
      </c>
      <c r="P67" s="10">
        <f>IF(N67&lt;=0,0,IF(Financiamento_EV!$C$6=0,N67/(Financiamento_EV!$C$7-K67+1),N67*Financiamento_EV!$C$6/(1-(1+Financiamento_EV!$C$6)^(-(Financiamento_EV!$C$7-K67+1)))))</f>
        <v>2451.5109510633342</v>
      </c>
      <c r="Q67" s="10">
        <f t="shared" ref="Q67:Q98" si="32">MAX(0,MIN(N67,P67-O67))</f>
        <v>1871.9687342440707</v>
      </c>
      <c r="R67" s="10">
        <f>IF(N67&lt;=0,0,MIN(IF(ISNUMBER(INDEX(Financiamento_EV!$I$17:$I$136,K67)),MAX(0,INDEX(Financiamento_EV!$I$17:$I$136,K67)),IF(K67&gt;=Financiamento_EV!$C$11,Financiamento_EV!$C$10,0)),MAX(0,N67-Q67)))</f>
        <v>0</v>
      </c>
      <c r="S67" s="10">
        <f t="shared" ref="S67:S98" si="33">MAX(0,N67-Q67-R67)</f>
        <v>32218.749902183201</v>
      </c>
      <c r="T67" s="10">
        <f t="shared" ref="T67:T98" si="34">IF(N67&lt;=0,0,P67+R67)</f>
        <v>2451.5109510633342</v>
      </c>
      <c r="V67">
        <f t="shared" si="25"/>
        <v>33</v>
      </c>
      <c r="W67" s="10">
        <f t="shared" si="26"/>
        <v>34090.718636427155</v>
      </c>
      <c r="X67" s="10">
        <f>IF(OR(W67&lt;=0,V67&gt;Financiamento_EV!$C$7),0,W67*Financiamento_EV!$C$9)</f>
        <v>0</v>
      </c>
      <c r="Y67" s="10">
        <f t="shared" ref="Y67:Y98" si="35">MAX(0,W67+X67)</f>
        <v>34090.718636427155</v>
      </c>
      <c r="Z67" s="10">
        <f>IF(Y67&lt;=0,0,Y67*Financiamento_EV!$C$6)</f>
        <v>579.54221681926163</v>
      </c>
      <c r="AA67" s="10">
        <f>IF(Y67&lt;=0,0,IF(Financiamento_EV!$C$6=0,Y67/(Financiamento_EV!$C$7-V67+1),Y67*Financiamento_EV!$C$6/(1-(1+Financiamento_EV!$C$6)^(-(Financiamento_EV!$C$7-V67+1)))))</f>
        <v>2451.5109510633256</v>
      </c>
      <c r="AB67" s="10">
        <f t="shared" ref="AB67:AB98" si="36">MAX(0,MIN(Y67,AA67-Z67))</f>
        <v>1871.9687342440639</v>
      </c>
      <c r="AC67" s="10">
        <f>IF(Y67&lt;=0,0,MIN(IF(ISNUMBER(INDEX(Financiamento_EV!$I$17:$I$136,V67)),MAX(0,INDEX(Financiamento_EV!$I$17:$I$136,V67)),IF(V67&gt;=Financiamento_EV!$C$11,Financiamento_EV!$C$10,0)),MAX(0,Y67-AB67)))</f>
        <v>0</v>
      </c>
      <c r="AD67" s="10">
        <f>IF(OR(Y67&lt;=0,V67&lt;Financiamento_EV!$C$11),0,MIN(MAX(0,Financiamento_EV!$F$5-AA67),MAX(0,Y67-AB67-AC67)))</f>
        <v>2.0463630789890885E-11</v>
      </c>
      <c r="AE67" s="10">
        <f t="shared" ref="AE67:AE98" si="37">IF(Y67&lt;=0,0,AA67+AC67+AD67)</f>
        <v>2451.5109510633461</v>
      </c>
      <c r="AF67" s="10">
        <f t="shared" ref="AF67:AF98" si="38">MAX(0,Y67-AB67-AC67-AD67)</f>
        <v>32218.74990218307</v>
      </c>
      <c r="AG67" s="10">
        <f t="shared" ref="AG67:AG98" si="39">AC67+AD67</f>
        <v>2.0463630789890885E-11</v>
      </c>
      <c r="AI67">
        <f t="shared" ref="AI67:AI94" si="40">A67</f>
        <v>33</v>
      </c>
      <c r="AJ67">
        <f t="shared" ref="AJ67:AJ94" si="41">H67</f>
        <v>32218.749902183201</v>
      </c>
      <c r="AK67">
        <f t="shared" ref="AK67:AK94" si="42">S67</f>
        <v>32218.749902183201</v>
      </c>
      <c r="AL67">
        <f t="shared" ref="AL67:AL94" si="43">AF67</f>
        <v>32218.74990218307</v>
      </c>
      <c r="AM67">
        <f t="shared" ref="AM67:AM94" si="44">A67</f>
        <v>33</v>
      </c>
      <c r="AN67">
        <f t="shared" ref="AN67:AN94" si="45">I67</f>
        <v>2451.5109510633342</v>
      </c>
      <c r="AO67">
        <f t="shared" ref="AO67:AO94" si="46">T67</f>
        <v>2451.5109510633342</v>
      </c>
      <c r="AP67">
        <f t="shared" ref="AP67:AP94" si="47">AE67</f>
        <v>2451.5109510633461</v>
      </c>
    </row>
    <row r="68" spans="1:42">
      <c r="A68">
        <f t="shared" ref="A68:A99" si="48">A67+1</f>
        <v>34</v>
      </c>
      <c r="B68" s="10">
        <f t="shared" ref="B68:B99" si="49">H67</f>
        <v>32218.749902183201</v>
      </c>
      <c r="C68" s="10">
        <f>IF(OR(B68&lt;=0,A68&gt;Financiamento_EV!$C$7),0,B68*Financiamento_EV!$C$9)</f>
        <v>0</v>
      </c>
      <c r="D68" s="10">
        <f t="shared" si="27"/>
        <v>32218.749902183201</v>
      </c>
      <c r="E68" s="10">
        <f>IF(D68&lt;=0,0,D68*Financiamento_EV!$C$6)</f>
        <v>547.71874833711445</v>
      </c>
      <c r="F68" s="10">
        <f>IF(D68&lt;=0,0,IF(Financiamento_EV!$C$6=0,D68/(Financiamento_EV!$C$7-A68+1),D68*Financiamento_EV!$C$6/(1-(1+Financiamento_EV!$C$6)^(-(Financiamento_EV!$C$7-A68+1)))))</f>
        <v>2451.5109510633347</v>
      </c>
      <c r="G68" s="10">
        <f t="shared" si="28"/>
        <v>1903.7922027262202</v>
      </c>
      <c r="H68" s="10">
        <f t="shared" si="29"/>
        <v>30314.95769945698</v>
      </c>
      <c r="I68" s="10">
        <f t="shared" si="30"/>
        <v>2451.5109510633347</v>
      </c>
      <c r="K68">
        <f t="shared" ref="K68:K99" si="50">K67+1</f>
        <v>34</v>
      </c>
      <c r="L68" s="10">
        <f t="shared" ref="L68:L99" si="51">S67</f>
        <v>32218.749902183201</v>
      </c>
      <c r="M68" s="10">
        <f>IF(OR(L68&lt;=0,K68&gt;Financiamento_EV!$C$7),0,L68*Financiamento_EV!$C$9)</f>
        <v>0</v>
      </c>
      <c r="N68" s="10">
        <f t="shared" si="31"/>
        <v>32218.749902183201</v>
      </c>
      <c r="O68" s="10">
        <f>IF(N68&lt;=0,0,N68*Financiamento_EV!$C$6)</f>
        <v>547.71874833711445</v>
      </c>
      <c r="P68" s="10">
        <f>IF(N68&lt;=0,0,IF(Financiamento_EV!$C$6=0,N68/(Financiamento_EV!$C$7-K68+1),N68*Financiamento_EV!$C$6/(1-(1+Financiamento_EV!$C$6)^(-(Financiamento_EV!$C$7-K68+1)))))</f>
        <v>2451.5109510633347</v>
      </c>
      <c r="Q68" s="10">
        <f t="shared" si="32"/>
        <v>1903.7922027262202</v>
      </c>
      <c r="R68" s="10">
        <f>IF(N68&lt;=0,0,MIN(IF(ISNUMBER(INDEX(Financiamento_EV!$I$17:$I$136,K68)),MAX(0,INDEX(Financiamento_EV!$I$17:$I$136,K68)),IF(K68&gt;=Financiamento_EV!$C$11,Financiamento_EV!$C$10,0)),MAX(0,N68-Q68)))</f>
        <v>0</v>
      </c>
      <c r="S68" s="10">
        <f t="shared" si="33"/>
        <v>30314.95769945698</v>
      </c>
      <c r="T68" s="10">
        <f t="shared" si="34"/>
        <v>2451.5109510633347</v>
      </c>
      <c r="V68">
        <f t="shared" ref="V68:V99" si="52">V67+1</f>
        <v>34</v>
      </c>
      <c r="W68" s="10">
        <f t="shared" ref="W68:W99" si="53">AF67</f>
        <v>32218.74990218307</v>
      </c>
      <c r="X68" s="10">
        <f>IF(OR(W68&lt;=0,V68&gt;Financiamento_EV!$C$7),0,W68*Financiamento_EV!$C$9)</f>
        <v>0</v>
      </c>
      <c r="Y68" s="10">
        <f t="shared" si="35"/>
        <v>32218.74990218307</v>
      </c>
      <c r="Z68" s="10">
        <f>IF(Y68&lt;=0,0,Y68*Financiamento_EV!$C$6)</f>
        <v>547.71874833711217</v>
      </c>
      <c r="AA68" s="10">
        <f>IF(Y68&lt;=0,0,IF(Financiamento_EV!$C$6=0,Y68/(Financiamento_EV!$C$7-V68+1),Y68*Financiamento_EV!$C$6/(1-(1+Financiamento_EV!$C$6)^(-(Financiamento_EV!$C$7-V68+1)))))</f>
        <v>2451.5109510633247</v>
      </c>
      <c r="AB68" s="10">
        <f t="shared" si="36"/>
        <v>1903.7922027262125</v>
      </c>
      <c r="AC68" s="10">
        <f>IF(Y68&lt;=0,0,MIN(IF(ISNUMBER(INDEX(Financiamento_EV!$I$17:$I$136,V68)),MAX(0,INDEX(Financiamento_EV!$I$17:$I$136,V68)),IF(V68&gt;=Financiamento_EV!$C$11,Financiamento_EV!$C$10,0)),MAX(0,Y68-AB68)))</f>
        <v>0</v>
      </c>
      <c r="AD68" s="10">
        <f>IF(OR(Y68&lt;=0,V68&lt;Financiamento_EV!$C$11),0,MIN(MAX(0,Financiamento_EV!$F$5-AA68),MAX(0,Y68-AB68-AC68)))</f>
        <v>2.1373125491663814E-11</v>
      </c>
      <c r="AE68" s="10">
        <f t="shared" si="37"/>
        <v>2451.5109510633461</v>
      </c>
      <c r="AF68" s="10">
        <f t="shared" si="38"/>
        <v>30314.957699456834</v>
      </c>
      <c r="AG68" s="10">
        <f t="shared" si="39"/>
        <v>2.1373125491663814E-11</v>
      </c>
      <c r="AI68">
        <f t="shared" si="40"/>
        <v>34</v>
      </c>
      <c r="AJ68">
        <f t="shared" si="41"/>
        <v>30314.95769945698</v>
      </c>
      <c r="AK68">
        <f t="shared" si="42"/>
        <v>30314.95769945698</v>
      </c>
      <c r="AL68">
        <f t="shared" si="43"/>
        <v>30314.957699456834</v>
      </c>
      <c r="AM68">
        <f t="shared" si="44"/>
        <v>34</v>
      </c>
      <c r="AN68">
        <f t="shared" si="45"/>
        <v>2451.5109510633347</v>
      </c>
      <c r="AO68">
        <f t="shared" si="46"/>
        <v>2451.5109510633347</v>
      </c>
      <c r="AP68">
        <f t="shared" si="47"/>
        <v>2451.5109510633461</v>
      </c>
    </row>
    <row r="69" spans="1:42">
      <c r="A69">
        <f t="shared" si="48"/>
        <v>35</v>
      </c>
      <c r="B69" s="10">
        <f t="shared" si="49"/>
        <v>30314.95769945698</v>
      </c>
      <c r="C69" s="10">
        <f>IF(OR(B69&lt;=0,A69&gt;Financiamento_EV!$C$7),0,B69*Financiamento_EV!$C$9)</f>
        <v>0</v>
      </c>
      <c r="D69" s="10">
        <f t="shared" si="27"/>
        <v>30314.95769945698</v>
      </c>
      <c r="E69" s="10">
        <f>IF(D69&lt;=0,0,D69*Financiamento_EV!$C$6)</f>
        <v>515.35428089076868</v>
      </c>
      <c r="F69" s="10">
        <f>IF(D69&lt;=0,0,IF(Financiamento_EV!$C$6=0,D69/(Financiamento_EV!$C$7-A69+1),D69*Financiamento_EV!$C$6/(1-(1+Financiamento_EV!$C$6)^(-(Financiamento_EV!$C$7-A69+1)))))</f>
        <v>2451.5109510633329</v>
      </c>
      <c r="G69" s="10">
        <f t="shared" si="28"/>
        <v>1936.1566701725642</v>
      </c>
      <c r="H69" s="10">
        <f t="shared" si="29"/>
        <v>28378.801029284416</v>
      </c>
      <c r="I69" s="10">
        <f t="shared" si="30"/>
        <v>2451.5109510633329</v>
      </c>
      <c r="K69">
        <f t="shared" si="50"/>
        <v>35</v>
      </c>
      <c r="L69" s="10">
        <f t="shared" si="51"/>
        <v>30314.95769945698</v>
      </c>
      <c r="M69" s="10">
        <f>IF(OR(L69&lt;=0,K69&gt;Financiamento_EV!$C$7),0,L69*Financiamento_EV!$C$9)</f>
        <v>0</v>
      </c>
      <c r="N69" s="10">
        <f t="shared" si="31"/>
        <v>30314.95769945698</v>
      </c>
      <c r="O69" s="10">
        <f>IF(N69&lt;=0,0,N69*Financiamento_EV!$C$6)</f>
        <v>515.35428089076868</v>
      </c>
      <c r="P69" s="10">
        <f>IF(N69&lt;=0,0,IF(Financiamento_EV!$C$6=0,N69/(Financiamento_EV!$C$7-K69+1),N69*Financiamento_EV!$C$6/(1-(1+Financiamento_EV!$C$6)^(-(Financiamento_EV!$C$7-K69+1)))))</f>
        <v>2451.5109510633329</v>
      </c>
      <c r="Q69" s="10">
        <f t="shared" si="32"/>
        <v>1936.1566701725642</v>
      </c>
      <c r="R69" s="10">
        <f>IF(N69&lt;=0,0,MIN(IF(ISNUMBER(INDEX(Financiamento_EV!$I$17:$I$136,K69)),MAX(0,INDEX(Financiamento_EV!$I$17:$I$136,K69)),IF(K69&gt;=Financiamento_EV!$C$11,Financiamento_EV!$C$10,0)),MAX(0,N69-Q69)))</f>
        <v>0</v>
      </c>
      <c r="S69" s="10">
        <f t="shared" si="33"/>
        <v>28378.801029284416</v>
      </c>
      <c r="T69" s="10">
        <f t="shared" si="34"/>
        <v>2451.5109510633329</v>
      </c>
      <c r="V69">
        <f t="shared" si="52"/>
        <v>35</v>
      </c>
      <c r="W69" s="10">
        <f t="shared" si="53"/>
        <v>30314.957699456834</v>
      </c>
      <c r="X69" s="10">
        <f>IF(OR(W69&lt;=0,V69&gt;Financiamento_EV!$C$7),0,W69*Financiamento_EV!$C$9)</f>
        <v>0</v>
      </c>
      <c r="Y69" s="10">
        <f t="shared" si="35"/>
        <v>30314.957699456834</v>
      </c>
      <c r="Z69" s="10">
        <f>IF(Y69&lt;=0,0,Y69*Financiamento_EV!$C$6)</f>
        <v>515.35428089076618</v>
      </c>
      <c r="AA69" s="10">
        <f>IF(Y69&lt;=0,0,IF(Financiamento_EV!$C$6=0,Y69/(Financiamento_EV!$C$7-V69+1),Y69*Financiamento_EV!$C$6/(1-(1+Financiamento_EV!$C$6)^(-(Financiamento_EV!$C$7-V69+1)))))</f>
        <v>2451.510951063321</v>
      </c>
      <c r="AB69" s="10">
        <f t="shared" si="36"/>
        <v>1936.1566701725549</v>
      </c>
      <c r="AC69" s="10">
        <f>IF(Y69&lt;=0,0,MIN(IF(ISNUMBER(INDEX(Financiamento_EV!$I$17:$I$136,V69)),MAX(0,INDEX(Financiamento_EV!$I$17:$I$136,V69)),IF(V69&gt;=Financiamento_EV!$C$11,Financiamento_EV!$C$10,0)),MAX(0,Y69-AB69)))</f>
        <v>0</v>
      </c>
      <c r="AD69" s="10">
        <f>IF(OR(Y69&lt;=0,V69&lt;Financiamento_EV!$C$11),0,MIN(MAX(0,Financiamento_EV!$F$5-AA69),MAX(0,Y69-AB69-AC69)))</f>
        <v>2.5011104298755527E-11</v>
      </c>
      <c r="AE69" s="10">
        <f t="shared" si="37"/>
        <v>2451.5109510633461</v>
      </c>
      <c r="AF69" s="10">
        <f t="shared" si="38"/>
        <v>28378.801029284255</v>
      </c>
      <c r="AG69" s="10">
        <f t="shared" si="39"/>
        <v>2.5011104298755527E-11</v>
      </c>
      <c r="AI69">
        <f t="shared" si="40"/>
        <v>35</v>
      </c>
      <c r="AJ69">
        <f t="shared" si="41"/>
        <v>28378.801029284416</v>
      </c>
      <c r="AK69">
        <f t="shared" si="42"/>
        <v>28378.801029284416</v>
      </c>
      <c r="AL69">
        <f t="shared" si="43"/>
        <v>28378.801029284255</v>
      </c>
      <c r="AM69">
        <f t="shared" si="44"/>
        <v>35</v>
      </c>
      <c r="AN69">
        <f t="shared" si="45"/>
        <v>2451.5109510633329</v>
      </c>
      <c r="AO69">
        <f t="shared" si="46"/>
        <v>2451.5109510633329</v>
      </c>
      <c r="AP69">
        <f t="shared" si="47"/>
        <v>2451.5109510633461</v>
      </c>
    </row>
    <row r="70" spans="1:42">
      <c r="A70">
        <f t="shared" si="48"/>
        <v>36</v>
      </c>
      <c r="B70" s="10">
        <f t="shared" si="49"/>
        <v>28378.801029284416</v>
      </c>
      <c r="C70" s="10">
        <f>IF(OR(B70&lt;=0,A70&gt;Financiamento_EV!$C$7),0,B70*Financiamento_EV!$C$9)</f>
        <v>0</v>
      </c>
      <c r="D70" s="10">
        <f t="shared" si="27"/>
        <v>28378.801029284416</v>
      </c>
      <c r="E70" s="10">
        <f>IF(D70&lt;=0,0,D70*Financiamento_EV!$C$6)</f>
        <v>482.43961749783512</v>
      </c>
      <c r="F70" s="10">
        <f>IF(D70&lt;=0,0,IF(Financiamento_EV!$C$6=0,D70/(Financiamento_EV!$C$7-A70+1),D70*Financiamento_EV!$C$6/(1-(1+Financiamento_EV!$C$6)^(-(Financiamento_EV!$C$7-A70+1)))))</f>
        <v>2451.5109510633324</v>
      </c>
      <c r="G70" s="10">
        <f t="shared" si="28"/>
        <v>1969.0713335654973</v>
      </c>
      <c r="H70" s="10">
        <f t="shared" si="29"/>
        <v>26409.729695718917</v>
      </c>
      <c r="I70" s="10">
        <f t="shared" si="30"/>
        <v>2451.5109510633324</v>
      </c>
      <c r="K70">
        <f t="shared" si="50"/>
        <v>36</v>
      </c>
      <c r="L70" s="10">
        <f t="shared" si="51"/>
        <v>28378.801029284416</v>
      </c>
      <c r="M70" s="10">
        <f>IF(OR(L70&lt;=0,K70&gt;Financiamento_EV!$C$7),0,L70*Financiamento_EV!$C$9)</f>
        <v>0</v>
      </c>
      <c r="N70" s="10">
        <f t="shared" si="31"/>
        <v>28378.801029284416</v>
      </c>
      <c r="O70" s="10">
        <f>IF(N70&lt;=0,0,N70*Financiamento_EV!$C$6)</f>
        <v>482.43961749783512</v>
      </c>
      <c r="P70" s="10">
        <f>IF(N70&lt;=0,0,IF(Financiamento_EV!$C$6=0,N70/(Financiamento_EV!$C$7-K70+1),N70*Financiamento_EV!$C$6/(1-(1+Financiamento_EV!$C$6)^(-(Financiamento_EV!$C$7-K70+1)))))</f>
        <v>2451.5109510633324</v>
      </c>
      <c r="Q70" s="10">
        <f t="shared" si="32"/>
        <v>1969.0713335654973</v>
      </c>
      <c r="R70" s="10">
        <f>IF(N70&lt;=0,0,MIN(IF(ISNUMBER(INDEX(Financiamento_EV!$I$17:$I$136,K70)),MAX(0,INDEX(Financiamento_EV!$I$17:$I$136,K70)),IF(K70&gt;=Financiamento_EV!$C$11,Financiamento_EV!$C$10,0)),MAX(0,N70-Q70)))</f>
        <v>0</v>
      </c>
      <c r="S70" s="10">
        <f t="shared" si="33"/>
        <v>26409.729695718917</v>
      </c>
      <c r="T70" s="10">
        <f t="shared" si="34"/>
        <v>2451.5109510633324</v>
      </c>
      <c r="V70">
        <f t="shared" si="52"/>
        <v>36</v>
      </c>
      <c r="W70" s="10">
        <f t="shared" si="53"/>
        <v>28378.801029284255</v>
      </c>
      <c r="X70" s="10">
        <f>IF(OR(W70&lt;=0,V70&gt;Financiamento_EV!$C$7),0,W70*Financiamento_EV!$C$9)</f>
        <v>0</v>
      </c>
      <c r="Y70" s="10">
        <f t="shared" si="35"/>
        <v>28378.801029284255</v>
      </c>
      <c r="Z70" s="10">
        <f>IF(Y70&lt;=0,0,Y70*Financiamento_EV!$C$6)</f>
        <v>482.43961749783239</v>
      </c>
      <c r="AA70" s="10">
        <f>IF(Y70&lt;=0,0,IF(Financiamento_EV!$C$6=0,Y70/(Financiamento_EV!$C$7-V70+1),Y70*Financiamento_EV!$C$6/(1-(1+Financiamento_EV!$C$6)^(-(Financiamento_EV!$C$7-V70+1)))))</f>
        <v>2451.5109510633188</v>
      </c>
      <c r="AB70" s="10">
        <f t="shared" si="36"/>
        <v>1969.0713335654864</v>
      </c>
      <c r="AC70" s="10">
        <f>IF(Y70&lt;=0,0,MIN(IF(ISNUMBER(INDEX(Financiamento_EV!$I$17:$I$136,V70)),MAX(0,INDEX(Financiamento_EV!$I$17:$I$136,V70)),IF(V70&gt;=Financiamento_EV!$C$11,Financiamento_EV!$C$10,0)),MAX(0,Y70-AB70)))</f>
        <v>0</v>
      </c>
      <c r="AD70" s="10">
        <f>IF(OR(Y70&lt;=0,V70&lt;Financiamento_EV!$C$11),0,MIN(MAX(0,Financiamento_EV!$F$5-AA70),MAX(0,Y70-AB70-AC70)))</f>
        <v>2.7284841053187847E-11</v>
      </c>
      <c r="AE70" s="10">
        <f t="shared" si="37"/>
        <v>2451.5109510633461</v>
      </c>
      <c r="AF70" s="10">
        <f t="shared" si="38"/>
        <v>26409.729695718743</v>
      </c>
      <c r="AG70" s="10">
        <f t="shared" si="39"/>
        <v>2.7284841053187847E-11</v>
      </c>
      <c r="AI70">
        <f t="shared" si="40"/>
        <v>36</v>
      </c>
      <c r="AJ70">
        <f t="shared" si="41"/>
        <v>26409.729695718917</v>
      </c>
      <c r="AK70">
        <f t="shared" si="42"/>
        <v>26409.729695718917</v>
      </c>
      <c r="AL70">
        <f t="shared" si="43"/>
        <v>26409.729695718743</v>
      </c>
      <c r="AM70">
        <f t="shared" si="44"/>
        <v>36</v>
      </c>
      <c r="AN70">
        <f t="shared" si="45"/>
        <v>2451.5109510633324</v>
      </c>
      <c r="AO70">
        <f t="shared" si="46"/>
        <v>2451.5109510633324</v>
      </c>
      <c r="AP70">
        <f t="shared" si="47"/>
        <v>2451.5109510633461</v>
      </c>
    </row>
    <row r="71" spans="1:42">
      <c r="A71">
        <f t="shared" si="48"/>
        <v>37</v>
      </c>
      <c r="B71" s="10">
        <f t="shared" si="49"/>
        <v>26409.729695718917</v>
      </c>
      <c r="C71" s="10">
        <f>IF(OR(B71&lt;=0,A71&gt;Financiamento_EV!$C$7),0,B71*Financiamento_EV!$C$9)</f>
        <v>0</v>
      </c>
      <c r="D71" s="10">
        <f t="shared" si="27"/>
        <v>26409.729695718917</v>
      </c>
      <c r="E71" s="10">
        <f>IF(D71&lt;=0,0,D71*Financiamento_EV!$C$6)</f>
        <v>448.96540482722162</v>
      </c>
      <c r="F71" s="10">
        <f>IF(D71&lt;=0,0,IF(Financiamento_EV!$C$6=0,D71/(Financiamento_EV!$C$7-A71+1),D71*Financiamento_EV!$C$6/(1-(1+Financiamento_EV!$C$6)^(-(Financiamento_EV!$C$7-A71+1)))))</f>
        <v>2451.5109510633315</v>
      </c>
      <c r="G71" s="10">
        <f t="shared" si="28"/>
        <v>2002.5455462361099</v>
      </c>
      <c r="H71" s="10">
        <f t="shared" si="29"/>
        <v>24407.184149482808</v>
      </c>
      <c r="I71" s="10">
        <f t="shared" si="30"/>
        <v>2451.5109510633315</v>
      </c>
      <c r="K71">
        <f t="shared" si="50"/>
        <v>37</v>
      </c>
      <c r="L71" s="10">
        <f t="shared" si="51"/>
        <v>26409.729695718917</v>
      </c>
      <c r="M71" s="10">
        <f>IF(OR(L71&lt;=0,K71&gt;Financiamento_EV!$C$7),0,L71*Financiamento_EV!$C$9)</f>
        <v>0</v>
      </c>
      <c r="N71" s="10">
        <f t="shared" si="31"/>
        <v>26409.729695718917</v>
      </c>
      <c r="O71" s="10">
        <f>IF(N71&lt;=0,0,N71*Financiamento_EV!$C$6)</f>
        <v>448.96540482722162</v>
      </c>
      <c r="P71" s="10">
        <f>IF(N71&lt;=0,0,IF(Financiamento_EV!$C$6=0,N71/(Financiamento_EV!$C$7-K71+1),N71*Financiamento_EV!$C$6/(1-(1+Financiamento_EV!$C$6)^(-(Financiamento_EV!$C$7-K71+1)))))</f>
        <v>2451.5109510633315</v>
      </c>
      <c r="Q71" s="10">
        <f t="shared" si="32"/>
        <v>2002.5455462361099</v>
      </c>
      <c r="R71" s="10">
        <f>IF(N71&lt;=0,0,MIN(IF(ISNUMBER(INDEX(Financiamento_EV!$I$17:$I$136,K71)),MAX(0,INDEX(Financiamento_EV!$I$17:$I$136,K71)),IF(K71&gt;=Financiamento_EV!$C$11,Financiamento_EV!$C$10,0)),MAX(0,N71-Q71)))</f>
        <v>0</v>
      </c>
      <c r="S71" s="10">
        <f t="shared" si="33"/>
        <v>24407.184149482808</v>
      </c>
      <c r="T71" s="10">
        <f t="shared" si="34"/>
        <v>2451.5109510633315</v>
      </c>
      <c r="V71">
        <f t="shared" si="52"/>
        <v>37</v>
      </c>
      <c r="W71" s="10">
        <f t="shared" si="53"/>
        <v>26409.729695718743</v>
      </c>
      <c r="X71" s="10">
        <f>IF(OR(W71&lt;=0,V71&gt;Financiamento_EV!$C$7),0,W71*Financiamento_EV!$C$9)</f>
        <v>0</v>
      </c>
      <c r="Y71" s="10">
        <f t="shared" si="35"/>
        <v>26409.729695718743</v>
      </c>
      <c r="Z71" s="10">
        <f>IF(Y71&lt;=0,0,Y71*Financiamento_EV!$C$6)</f>
        <v>448.96540482721866</v>
      </c>
      <c r="AA71" s="10">
        <f>IF(Y71&lt;=0,0,IF(Financiamento_EV!$C$6=0,Y71/(Financiamento_EV!$C$7-V71+1),Y71*Financiamento_EV!$C$6/(1-(1+Financiamento_EV!$C$6)^(-(Financiamento_EV!$C$7-V71+1)))))</f>
        <v>2451.5109510633151</v>
      </c>
      <c r="AB71" s="10">
        <f t="shared" si="36"/>
        <v>2002.5455462360965</v>
      </c>
      <c r="AC71" s="10">
        <f>IF(Y71&lt;=0,0,MIN(IF(ISNUMBER(INDEX(Financiamento_EV!$I$17:$I$136,V71)),MAX(0,INDEX(Financiamento_EV!$I$17:$I$136,V71)),IF(V71&gt;=Financiamento_EV!$C$11,Financiamento_EV!$C$10,0)),MAX(0,Y71-AB71)))</f>
        <v>0</v>
      </c>
      <c r="AD71" s="10">
        <f>IF(OR(Y71&lt;=0,V71&lt;Financiamento_EV!$C$11),0,MIN(MAX(0,Financiamento_EV!$F$5-AA71),MAX(0,Y71-AB71-AC71)))</f>
        <v>3.092281986027956E-11</v>
      </c>
      <c r="AE71" s="10">
        <f t="shared" si="37"/>
        <v>2451.5109510633461</v>
      </c>
      <c r="AF71" s="10">
        <f t="shared" si="38"/>
        <v>24407.184149482615</v>
      </c>
      <c r="AG71" s="10">
        <f t="shared" si="39"/>
        <v>3.092281986027956E-11</v>
      </c>
      <c r="AI71">
        <f t="shared" si="40"/>
        <v>37</v>
      </c>
      <c r="AJ71">
        <f t="shared" si="41"/>
        <v>24407.184149482808</v>
      </c>
      <c r="AK71">
        <f t="shared" si="42"/>
        <v>24407.184149482808</v>
      </c>
      <c r="AL71">
        <f t="shared" si="43"/>
        <v>24407.184149482615</v>
      </c>
      <c r="AM71">
        <f t="shared" si="44"/>
        <v>37</v>
      </c>
      <c r="AN71">
        <f t="shared" si="45"/>
        <v>2451.5109510633315</v>
      </c>
      <c r="AO71">
        <f t="shared" si="46"/>
        <v>2451.5109510633315</v>
      </c>
      <c r="AP71">
        <f t="shared" si="47"/>
        <v>2451.5109510633461</v>
      </c>
    </row>
    <row r="72" spans="1:42">
      <c r="A72">
        <f t="shared" si="48"/>
        <v>38</v>
      </c>
      <c r="B72" s="10">
        <f t="shared" si="49"/>
        <v>24407.184149482808</v>
      </c>
      <c r="C72" s="10">
        <f>IF(OR(B72&lt;=0,A72&gt;Financiamento_EV!$C$7),0,B72*Financiamento_EV!$C$9)</f>
        <v>0</v>
      </c>
      <c r="D72" s="10">
        <f t="shared" si="27"/>
        <v>24407.184149482808</v>
      </c>
      <c r="E72" s="10">
        <f>IF(D72&lt;=0,0,D72*Financiamento_EV!$C$6)</f>
        <v>414.92213054120776</v>
      </c>
      <c r="F72" s="10">
        <f>IF(D72&lt;=0,0,IF(Financiamento_EV!$C$6=0,D72/(Financiamento_EV!$C$7-A72+1),D72*Financiamento_EV!$C$6/(1-(1+Financiamento_EV!$C$6)^(-(Financiamento_EV!$C$7-A72+1)))))</f>
        <v>2451.5109510633306</v>
      </c>
      <c r="G72" s="10">
        <f t="shared" si="28"/>
        <v>2036.5888205221229</v>
      </c>
      <c r="H72" s="10">
        <f t="shared" si="29"/>
        <v>22370.595328960684</v>
      </c>
      <c r="I72" s="10">
        <f t="shared" si="30"/>
        <v>2451.5109510633306</v>
      </c>
      <c r="K72">
        <f t="shared" si="50"/>
        <v>38</v>
      </c>
      <c r="L72" s="10">
        <f t="shared" si="51"/>
        <v>24407.184149482808</v>
      </c>
      <c r="M72" s="10">
        <f>IF(OR(L72&lt;=0,K72&gt;Financiamento_EV!$C$7),0,L72*Financiamento_EV!$C$9)</f>
        <v>0</v>
      </c>
      <c r="N72" s="10">
        <f t="shared" si="31"/>
        <v>24407.184149482808</v>
      </c>
      <c r="O72" s="10">
        <f>IF(N72&lt;=0,0,N72*Financiamento_EV!$C$6)</f>
        <v>414.92213054120776</v>
      </c>
      <c r="P72" s="10">
        <f>IF(N72&lt;=0,0,IF(Financiamento_EV!$C$6=0,N72/(Financiamento_EV!$C$7-K72+1),N72*Financiamento_EV!$C$6/(1-(1+Financiamento_EV!$C$6)^(-(Financiamento_EV!$C$7-K72+1)))))</f>
        <v>2451.5109510633306</v>
      </c>
      <c r="Q72" s="10">
        <f t="shared" si="32"/>
        <v>2036.5888205221229</v>
      </c>
      <c r="R72" s="10">
        <f>IF(N72&lt;=0,0,MIN(IF(ISNUMBER(INDEX(Financiamento_EV!$I$17:$I$136,K72)),MAX(0,INDEX(Financiamento_EV!$I$17:$I$136,K72)),IF(K72&gt;=Financiamento_EV!$C$11,Financiamento_EV!$C$10,0)),MAX(0,N72-Q72)))</f>
        <v>0</v>
      </c>
      <c r="S72" s="10">
        <f t="shared" si="33"/>
        <v>22370.595328960684</v>
      </c>
      <c r="T72" s="10">
        <f t="shared" si="34"/>
        <v>2451.5109510633306</v>
      </c>
      <c r="V72">
        <f t="shared" si="52"/>
        <v>38</v>
      </c>
      <c r="W72" s="10">
        <f t="shared" si="53"/>
        <v>24407.184149482615</v>
      </c>
      <c r="X72" s="10">
        <f>IF(OR(W72&lt;=0,V72&gt;Financiamento_EV!$C$7),0,W72*Financiamento_EV!$C$9)</f>
        <v>0</v>
      </c>
      <c r="Y72" s="10">
        <f t="shared" si="35"/>
        <v>24407.184149482615</v>
      </c>
      <c r="Z72" s="10">
        <f>IF(Y72&lt;=0,0,Y72*Financiamento_EV!$C$6)</f>
        <v>414.92213054120447</v>
      </c>
      <c r="AA72" s="10">
        <f>IF(Y72&lt;=0,0,IF(Financiamento_EV!$C$6=0,Y72/(Financiamento_EV!$C$7-V72+1),Y72*Financiamento_EV!$C$6/(1-(1+Financiamento_EV!$C$6)^(-(Financiamento_EV!$C$7-V72+1)))))</f>
        <v>2451.510951063311</v>
      </c>
      <c r="AB72" s="10">
        <f t="shared" si="36"/>
        <v>2036.5888205221065</v>
      </c>
      <c r="AC72" s="10">
        <f>IF(Y72&lt;=0,0,MIN(IF(ISNUMBER(INDEX(Financiamento_EV!$I$17:$I$136,V72)),MAX(0,INDEX(Financiamento_EV!$I$17:$I$136,V72)),IF(V72&gt;=Financiamento_EV!$C$11,Financiamento_EV!$C$10,0)),MAX(0,Y72-AB72)))</f>
        <v>0</v>
      </c>
      <c r="AD72" s="10">
        <f>IF(OR(Y72&lt;=0,V72&lt;Financiamento_EV!$C$11),0,MIN(MAX(0,Financiamento_EV!$F$5-AA72),MAX(0,Y72-AB72-AC72)))</f>
        <v>3.5015546018257737E-11</v>
      </c>
      <c r="AE72" s="10">
        <f t="shared" si="37"/>
        <v>2451.5109510633461</v>
      </c>
      <c r="AF72" s="10">
        <f t="shared" si="38"/>
        <v>22370.595328960473</v>
      </c>
      <c r="AG72" s="10">
        <f t="shared" si="39"/>
        <v>3.5015546018257737E-11</v>
      </c>
      <c r="AI72">
        <f t="shared" si="40"/>
        <v>38</v>
      </c>
      <c r="AJ72">
        <f t="shared" si="41"/>
        <v>22370.595328960684</v>
      </c>
      <c r="AK72">
        <f t="shared" si="42"/>
        <v>22370.595328960684</v>
      </c>
      <c r="AL72">
        <f t="shared" si="43"/>
        <v>22370.595328960473</v>
      </c>
      <c r="AM72">
        <f t="shared" si="44"/>
        <v>38</v>
      </c>
      <c r="AN72">
        <f t="shared" si="45"/>
        <v>2451.5109510633306</v>
      </c>
      <c r="AO72">
        <f t="shared" si="46"/>
        <v>2451.5109510633306</v>
      </c>
      <c r="AP72">
        <f t="shared" si="47"/>
        <v>2451.5109510633461</v>
      </c>
    </row>
    <row r="73" spans="1:42">
      <c r="A73">
        <f t="shared" si="48"/>
        <v>39</v>
      </c>
      <c r="B73" s="10">
        <f t="shared" si="49"/>
        <v>22370.595328960684</v>
      </c>
      <c r="C73" s="10">
        <f>IF(OR(B73&lt;=0,A73&gt;Financiamento_EV!$C$7),0,B73*Financiamento_EV!$C$9)</f>
        <v>0</v>
      </c>
      <c r="D73" s="10">
        <f t="shared" si="27"/>
        <v>22370.595328960684</v>
      </c>
      <c r="E73" s="10">
        <f>IF(D73&lt;=0,0,D73*Financiamento_EV!$C$6)</f>
        <v>380.30012059233167</v>
      </c>
      <c r="F73" s="10">
        <f>IF(D73&lt;=0,0,IF(Financiamento_EV!$C$6=0,D73/(Financiamento_EV!$C$7-A73+1),D73*Financiamento_EV!$C$6/(1-(1+Financiamento_EV!$C$6)^(-(Financiamento_EV!$C$7-A73+1)))))</f>
        <v>2451.5109510633274</v>
      </c>
      <c r="G73" s="10">
        <f t="shared" si="28"/>
        <v>2071.2108304709959</v>
      </c>
      <c r="H73" s="10">
        <f t="shared" si="29"/>
        <v>20299.38449848969</v>
      </c>
      <c r="I73" s="10">
        <f t="shared" si="30"/>
        <v>2451.5109510633274</v>
      </c>
      <c r="K73">
        <f t="shared" si="50"/>
        <v>39</v>
      </c>
      <c r="L73" s="10">
        <f t="shared" si="51"/>
        <v>22370.595328960684</v>
      </c>
      <c r="M73" s="10">
        <f>IF(OR(L73&lt;=0,K73&gt;Financiamento_EV!$C$7),0,L73*Financiamento_EV!$C$9)</f>
        <v>0</v>
      </c>
      <c r="N73" s="10">
        <f t="shared" si="31"/>
        <v>22370.595328960684</v>
      </c>
      <c r="O73" s="10">
        <f>IF(N73&lt;=0,0,N73*Financiamento_EV!$C$6)</f>
        <v>380.30012059233167</v>
      </c>
      <c r="P73" s="10">
        <f>IF(N73&lt;=0,0,IF(Financiamento_EV!$C$6=0,N73/(Financiamento_EV!$C$7-K73+1),N73*Financiamento_EV!$C$6/(1-(1+Financiamento_EV!$C$6)^(-(Financiamento_EV!$C$7-K73+1)))))</f>
        <v>2451.5109510633274</v>
      </c>
      <c r="Q73" s="10">
        <f t="shared" si="32"/>
        <v>2071.2108304709959</v>
      </c>
      <c r="R73" s="10">
        <f>IF(N73&lt;=0,0,MIN(IF(ISNUMBER(INDEX(Financiamento_EV!$I$17:$I$136,K73)),MAX(0,INDEX(Financiamento_EV!$I$17:$I$136,K73)),IF(K73&gt;=Financiamento_EV!$C$11,Financiamento_EV!$C$10,0)),MAX(0,N73-Q73)))</f>
        <v>0</v>
      </c>
      <c r="S73" s="10">
        <f t="shared" si="33"/>
        <v>20299.38449848969</v>
      </c>
      <c r="T73" s="10">
        <f t="shared" si="34"/>
        <v>2451.5109510633274</v>
      </c>
      <c r="V73">
        <f t="shared" si="52"/>
        <v>39</v>
      </c>
      <c r="W73" s="10">
        <f t="shared" si="53"/>
        <v>22370.595328960473</v>
      </c>
      <c r="X73" s="10">
        <f>IF(OR(W73&lt;=0,V73&gt;Financiamento_EV!$C$7),0,W73*Financiamento_EV!$C$9)</f>
        <v>0</v>
      </c>
      <c r="Y73" s="10">
        <f t="shared" si="35"/>
        <v>22370.595328960473</v>
      </c>
      <c r="Z73" s="10">
        <f>IF(Y73&lt;=0,0,Y73*Financiamento_EV!$C$6)</f>
        <v>380.30012059232808</v>
      </c>
      <c r="AA73" s="10">
        <f>IF(Y73&lt;=0,0,IF(Financiamento_EV!$C$6=0,Y73/(Financiamento_EV!$C$7-V73+1),Y73*Financiamento_EV!$C$6/(1-(1+Financiamento_EV!$C$6)^(-(Financiamento_EV!$C$7-V73+1)))))</f>
        <v>2451.5109510633047</v>
      </c>
      <c r="AB73" s="10">
        <f t="shared" si="36"/>
        <v>2071.2108304709764</v>
      </c>
      <c r="AC73" s="10">
        <f>IF(Y73&lt;=0,0,MIN(IF(ISNUMBER(INDEX(Financiamento_EV!$I$17:$I$136,V73)),MAX(0,INDEX(Financiamento_EV!$I$17:$I$136,V73)),IF(V73&gt;=Financiamento_EV!$C$11,Financiamento_EV!$C$10,0)),MAX(0,Y73-AB73)))</f>
        <v>0</v>
      </c>
      <c r="AD73" s="10">
        <f>IF(OR(Y73&lt;=0,V73&lt;Financiamento_EV!$C$11),0,MIN(MAX(0,Financiamento_EV!$F$5-AA73),MAX(0,Y73-AB73-AC73)))</f>
        <v>4.1382008930668235E-11</v>
      </c>
      <c r="AE73" s="10">
        <f t="shared" si="37"/>
        <v>2451.5109510633461</v>
      </c>
      <c r="AF73" s="10">
        <f t="shared" si="38"/>
        <v>20299.384498489457</v>
      </c>
      <c r="AG73" s="10">
        <f t="shared" si="39"/>
        <v>4.1382008930668235E-11</v>
      </c>
      <c r="AI73">
        <f t="shared" si="40"/>
        <v>39</v>
      </c>
      <c r="AJ73">
        <f t="shared" si="41"/>
        <v>20299.38449848969</v>
      </c>
      <c r="AK73">
        <f t="shared" si="42"/>
        <v>20299.38449848969</v>
      </c>
      <c r="AL73">
        <f t="shared" si="43"/>
        <v>20299.384498489457</v>
      </c>
      <c r="AM73">
        <f t="shared" si="44"/>
        <v>39</v>
      </c>
      <c r="AN73">
        <f t="shared" si="45"/>
        <v>2451.5109510633274</v>
      </c>
      <c r="AO73">
        <f t="shared" si="46"/>
        <v>2451.5109510633274</v>
      </c>
      <c r="AP73">
        <f t="shared" si="47"/>
        <v>2451.5109510633461</v>
      </c>
    </row>
    <row r="74" spans="1:42">
      <c r="A74">
        <f t="shared" si="48"/>
        <v>40</v>
      </c>
      <c r="B74" s="10">
        <f t="shared" si="49"/>
        <v>20299.38449848969</v>
      </c>
      <c r="C74" s="10">
        <f>IF(OR(B74&lt;=0,A74&gt;Financiamento_EV!$C$7),0,B74*Financiamento_EV!$C$9)</f>
        <v>0</v>
      </c>
      <c r="D74" s="10">
        <f t="shared" si="27"/>
        <v>20299.38449848969</v>
      </c>
      <c r="E74" s="10">
        <f>IF(D74&lt;=0,0,D74*Financiamento_EV!$C$6)</f>
        <v>345.08953647432475</v>
      </c>
      <c r="F74" s="10">
        <f>IF(D74&lt;=0,0,IF(Financiamento_EV!$C$6=0,D74/(Financiamento_EV!$C$7-A74+1),D74*Financiamento_EV!$C$6/(1-(1+Financiamento_EV!$C$6)^(-(Financiamento_EV!$C$7-A74+1)))))</f>
        <v>2451.5109510633247</v>
      </c>
      <c r="G74" s="10">
        <f t="shared" si="28"/>
        <v>2106.4214145890001</v>
      </c>
      <c r="H74" s="10">
        <f t="shared" si="29"/>
        <v>18192.96308390069</v>
      </c>
      <c r="I74" s="10">
        <f t="shared" si="30"/>
        <v>2451.5109510633247</v>
      </c>
      <c r="K74">
        <f t="shared" si="50"/>
        <v>40</v>
      </c>
      <c r="L74" s="10">
        <f t="shared" si="51"/>
        <v>20299.38449848969</v>
      </c>
      <c r="M74" s="10">
        <f>IF(OR(L74&lt;=0,K74&gt;Financiamento_EV!$C$7),0,L74*Financiamento_EV!$C$9)</f>
        <v>0</v>
      </c>
      <c r="N74" s="10">
        <f t="shared" si="31"/>
        <v>20299.38449848969</v>
      </c>
      <c r="O74" s="10">
        <f>IF(N74&lt;=0,0,N74*Financiamento_EV!$C$6)</f>
        <v>345.08953647432475</v>
      </c>
      <c r="P74" s="10">
        <f>IF(N74&lt;=0,0,IF(Financiamento_EV!$C$6=0,N74/(Financiamento_EV!$C$7-K74+1),N74*Financiamento_EV!$C$6/(1-(1+Financiamento_EV!$C$6)^(-(Financiamento_EV!$C$7-K74+1)))))</f>
        <v>2451.5109510633247</v>
      </c>
      <c r="Q74" s="10">
        <f t="shared" si="32"/>
        <v>2106.4214145890001</v>
      </c>
      <c r="R74" s="10">
        <f>IF(N74&lt;=0,0,MIN(IF(ISNUMBER(INDEX(Financiamento_EV!$I$17:$I$136,K74)),MAX(0,INDEX(Financiamento_EV!$I$17:$I$136,K74)),IF(K74&gt;=Financiamento_EV!$C$11,Financiamento_EV!$C$10,0)),MAX(0,N74-Q74)))</f>
        <v>0</v>
      </c>
      <c r="S74" s="10">
        <f t="shared" si="33"/>
        <v>18192.96308390069</v>
      </c>
      <c r="T74" s="10">
        <f t="shared" si="34"/>
        <v>2451.5109510633247</v>
      </c>
      <c r="V74">
        <f t="shared" si="52"/>
        <v>40</v>
      </c>
      <c r="W74" s="10">
        <f t="shared" si="53"/>
        <v>20299.384498489457</v>
      </c>
      <c r="X74" s="10">
        <f>IF(OR(W74&lt;=0,V74&gt;Financiamento_EV!$C$7),0,W74*Financiamento_EV!$C$9)</f>
        <v>0</v>
      </c>
      <c r="Y74" s="10">
        <f t="shared" si="35"/>
        <v>20299.384498489457</v>
      </c>
      <c r="Z74" s="10">
        <f>IF(Y74&lt;=0,0,Y74*Financiamento_EV!$C$6)</f>
        <v>345.08953647432077</v>
      </c>
      <c r="AA74" s="10">
        <f>IF(Y74&lt;=0,0,IF(Financiamento_EV!$C$6=0,Y74/(Financiamento_EV!$C$7-V74+1),Y74*Financiamento_EV!$C$6/(1-(1+Financiamento_EV!$C$6)^(-(Financiamento_EV!$C$7-V74+1)))))</f>
        <v>2451.5109510632965</v>
      </c>
      <c r="AB74" s="10">
        <f t="shared" si="36"/>
        <v>2106.4214145889755</v>
      </c>
      <c r="AC74" s="10">
        <f>IF(Y74&lt;=0,0,MIN(IF(ISNUMBER(INDEX(Financiamento_EV!$I$17:$I$136,V74)),MAX(0,INDEX(Financiamento_EV!$I$17:$I$136,V74)),IF(V74&gt;=Financiamento_EV!$C$11,Financiamento_EV!$C$10,0)),MAX(0,Y74-AB74)))</f>
        <v>0</v>
      </c>
      <c r="AD74" s="10">
        <f>IF(OR(Y74&lt;=0,V74&lt;Financiamento_EV!$C$11),0,MIN(MAX(0,Financiamento_EV!$F$5-AA74),MAX(0,Y74-AB74-AC74)))</f>
        <v>4.9567461246624589E-11</v>
      </c>
      <c r="AE74" s="10">
        <f t="shared" si="37"/>
        <v>2451.5109510633461</v>
      </c>
      <c r="AF74" s="10">
        <f t="shared" si="38"/>
        <v>18192.963083900431</v>
      </c>
      <c r="AG74" s="10">
        <f t="shared" si="39"/>
        <v>4.9567461246624589E-11</v>
      </c>
      <c r="AI74">
        <f t="shared" si="40"/>
        <v>40</v>
      </c>
      <c r="AJ74">
        <f t="shared" si="41"/>
        <v>18192.96308390069</v>
      </c>
      <c r="AK74">
        <f t="shared" si="42"/>
        <v>18192.96308390069</v>
      </c>
      <c r="AL74">
        <f t="shared" si="43"/>
        <v>18192.963083900431</v>
      </c>
      <c r="AM74">
        <f t="shared" si="44"/>
        <v>40</v>
      </c>
      <c r="AN74">
        <f t="shared" si="45"/>
        <v>2451.5109510633247</v>
      </c>
      <c r="AO74">
        <f t="shared" si="46"/>
        <v>2451.5109510633247</v>
      </c>
      <c r="AP74">
        <f t="shared" si="47"/>
        <v>2451.5109510633461</v>
      </c>
    </row>
    <row r="75" spans="1:42">
      <c r="A75">
        <f t="shared" si="48"/>
        <v>41</v>
      </c>
      <c r="B75" s="10">
        <f t="shared" si="49"/>
        <v>18192.96308390069</v>
      </c>
      <c r="C75" s="10">
        <f>IF(OR(B75&lt;=0,A75&gt;Financiamento_EV!$C$7),0,B75*Financiamento_EV!$C$9)</f>
        <v>0</v>
      </c>
      <c r="D75" s="10">
        <f t="shared" si="27"/>
        <v>18192.96308390069</v>
      </c>
      <c r="E75" s="10">
        <f>IF(D75&lt;=0,0,D75*Financiamento_EV!$C$6)</f>
        <v>309.28037242631177</v>
      </c>
      <c r="F75" s="10">
        <f>IF(D75&lt;=0,0,IF(Financiamento_EV!$C$6=0,D75/(Financiamento_EV!$C$7-A75+1),D75*Financiamento_EV!$C$6/(1-(1+Financiamento_EV!$C$6)^(-(Financiamento_EV!$C$7-A75+1)))))</f>
        <v>2451.5109510633247</v>
      </c>
      <c r="G75" s="10">
        <f t="shared" si="28"/>
        <v>2142.230578637013</v>
      </c>
      <c r="H75" s="10">
        <f t="shared" si="29"/>
        <v>16050.732505263677</v>
      </c>
      <c r="I75" s="10">
        <f t="shared" si="30"/>
        <v>2451.5109510633247</v>
      </c>
      <c r="K75">
        <f t="shared" si="50"/>
        <v>41</v>
      </c>
      <c r="L75" s="10">
        <f t="shared" si="51"/>
        <v>18192.96308390069</v>
      </c>
      <c r="M75" s="10">
        <f>IF(OR(L75&lt;=0,K75&gt;Financiamento_EV!$C$7),0,L75*Financiamento_EV!$C$9)</f>
        <v>0</v>
      </c>
      <c r="N75" s="10">
        <f t="shared" si="31"/>
        <v>18192.96308390069</v>
      </c>
      <c r="O75" s="10">
        <f>IF(N75&lt;=0,0,N75*Financiamento_EV!$C$6)</f>
        <v>309.28037242631177</v>
      </c>
      <c r="P75" s="10">
        <f>IF(N75&lt;=0,0,IF(Financiamento_EV!$C$6=0,N75/(Financiamento_EV!$C$7-K75+1),N75*Financiamento_EV!$C$6/(1-(1+Financiamento_EV!$C$6)^(-(Financiamento_EV!$C$7-K75+1)))))</f>
        <v>2451.5109510633247</v>
      </c>
      <c r="Q75" s="10">
        <f t="shared" si="32"/>
        <v>2142.230578637013</v>
      </c>
      <c r="R75" s="10">
        <f>IF(N75&lt;=0,0,MIN(IF(ISNUMBER(INDEX(Financiamento_EV!$I$17:$I$136,K75)),MAX(0,INDEX(Financiamento_EV!$I$17:$I$136,K75)),IF(K75&gt;=Financiamento_EV!$C$11,Financiamento_EV!$C$10,0)),MAX(0,N75-Q75)))</f>
        <v>0</v>
      </c>
      <c r="S75" s="10">
        <f t="shared" si="33"/>
        <v>16050.732505263677</v>
      </c>
      <c r="T75" s="10">
        <f t="shared" si="34"/>
        <v>2451.5109510633247</v>
      </c>
      <c r="V75">
        <f t="shared" si="52"/>
        <v>41</v>
      </c>
      <c r="W75" s="10">
        <f t="shared" si="53"/>
        <v>18192.963083900431</v>
      </c>
      <c r="X75" s="10">
        <f>IF(OR(W75&lt;=0,V75&gt;Financiamento_EV!$C$7),0,W75*Financiamento_EV!$C$9)</f>
        <v>0</v>
      </c>
      <c r="Y75" s="10">
        <f t="shared" si="35"/>
        <v>18192.963083900431</v>
      </c>
      <c r="Z75" s="10">
        <f>IF(Y75&lt;=0,0,Y75*Financiamento_EV!$C$6)</f>
        <v>309.28037242630734</v>
      </c>
      <c r="AA75" s="10">
        <f>IF(Y75&lt;=0,0,IF(Financiamento_EV!$C$6=0,Y75/(Financiamento_EV!$C$7-V75+1),Y75*Financiamento_EV!$C$6/(1-(1+Financiamento_EV!$C$6)^(-(Financiamento_EV!$C$7-V75+1)))))</f>
        <v>2451.5109510632897</v>
      </c>
      <c r="AB75" s="10">
        <f t="shared" si="36"/>
        <v>2142.2305786369825</v>
      </c>
      <c r="AC75" s="10">
        <f>IF(Y75&lt;=0,0,MIN(IF(ISNUMBER(INDEX(Financiamento_EV!$I$17:$I$136,V75)),MAX(0,INDEX(Financiamento_EV!$I$17:$I$136,V75)),IF(V75&gt;=Financiamento_EV!$C$11,Financiamento_EV!$C$10,0)),MAX(0,Y75-AB75)))</f>
        <v>0</v>
      </c>
      <c r="AD75" s="10">
        <f>IF(OR(Y75&lt;=0,V75&lt;Financiamento_EV!$C$11),0,MIN(MAX(0,Financiamento_EV!$F$5-AA75),MAX(0,Y75-AB75-AC75)))</f>
        <v>5.6388671509921551E-11</v>
      </c>
      <c r="AE75" s="10">
        <f t="shared" si="37"/>
        <v>2451.5109510633461</v>
      </c>
      <c r="AF75" s="10">
        <f t="shared" si="38"/>
        <v>16050.732505263391</v>
      </c>
      <c r="AG75" s="10">
        <f t="shared" si="39"/>
        <v>5.6388671509921551E-11</v>
      </c>
      <c r="AI75">
        <f t="shared" si="40"/>
        <v>41</v>
      </c>
      <c r="AJ75">
        <f t="shared" si="41"/>
        <v>16050.732505263677</v>
      </c>
      <c r="AK75">
        <f t="shared" si="42"/>
        <v>16050.732505263677</v>
      </c>
      <c r="AL75">
        <f t="shared" si="43"/>
        <v>16050.732505263391</v>
      </c>
      <c r="AM75">
        <f t="shared" si="44"/>
        <v>41</v>
      </c>
      <c r="AN75">
        <f t="shared" si="45"/>
        <v>2451.5109510633247</v>
      </c>
      <c r="AO75">
        <f t="shared" si="46"/>
        <v>2451.5109510633247</v>
      </c>
      <c r="AP75">
        <f t="shared" si="47"/>
        <v>2451.5109510633461</v>
      </c>
    </row>
    <row r="76" spans="1:42">
      <c r="A76">
        <f t="shared" si="48"/>
        <v>42</v>
      </c>
      <c r="B76" s="10">
        <f t="shared" si="49"/>
        <v>16050.732505263677</v>
      </c>
      <c r="C76" s="10">
        <f>IF(OR(B76&lt;=0,A76&gt;Financiamento_EV!$C$7),0,B76*Financiamento_EV!$C$9)</f>
        <v>0</v>
      </c>
      <c r="D76" s="10">
        <f t="shared" si="27"/>
        <v>16050.732505263677</v>
      </c>
      <c r="E76" s="10">
        <f>IF(D76&lt;=0,0,D76*Financiamento_EV!$C$6)</f>
        <v>272.86245258948253</v>
      </c>
      <c r="F76" s="10">
        <f>IF(D76&lt;=0,0,IF(Financiamento_EV!$C$6=0,D76/(Financiamento_EV!$C$7-A76+1),D76*Financiamento_EV!$C$6/(1-(1+Financiamento_EV!$C$6)^(-(Financiamento_EV!$C$7-A76+1)))))</f>
        <v>2451.510951063327</v>
      </c>
      <c r="G76" s="10">
        <f t="shared" si="28"/>
        <v>2178.6484984738445</v>
      </c>
      <c r="H76" s="10">
        <f t="shared" si="29"/>
        <v>13872.084006789832</v>
      </c>
      <c r="I76" s="10">
        <f t="shared" si="30"/>
        <v>2451.510951063327</v>
      </c>
      <c r="K76">
        <f t="shared" si="50"/>
        <v>42</v>
      </c>
      <c r="L76" s="10">
        <f t="shared" si="51"/>
        <v>16050.732505263677</v>
      </c>
      <c r="M76" s="10">
        <f>IF(OR(L76&lt;=0,K76&gt;Financiamento_EV!$C$7),0,L76*Financiamento_EV!$C$9)</f>
        <v>0</v>
      </c>
      <c r="N76" s="10">
        <f t="shared" si="31"/>
        <v>16050.732505263677</v>
      </c>
      <c r="O76" s="10">
        <f>IF(N76&lt;=0,0,N76*Financiamento_EV!$C$6)</f>
        <v>272.86245258948253</v>
      </c>
      <c r="P76" s="10">
        <f>IF(N76&lt;=0,0,IF(Financiamento_EV!$C$6=0,N76/(Financiamento_EV!$C$7-K76+1),N76*Financiamento_EV!$C$6/(1-(1+Financiamento_EV!$C$6)^(-(Financiamento_EV!$C$7-K76+1)))))</f>
        <v>2451.510951063327</v>
      </c>
      <c r="Q76" s="10">
        <f t="shared" si="32"/>
        <v>2178.6484984738445</v>
      </c>
      <c r="R76" s="10">
        <f>IF(N76&lt;=0,0,MIN(IF(ISNUMBER(INDEX(Financiamento_EV!$I$17:$I$136,K76)),MAX(0,INDEX(Financiamento_EV!$I$17:$I$136,K76)),IF(K76&gt;=Financiamento_EV!$C$11,Financiamento_EV!$C$10,0)),MAX(0,N76-Q76)))</f>
        <v>0</v>
      </c>
      <c r="S76" s="10">
        <f t="shared" si="33"/>
        <v>13872.084006789832</v>
      </c>
      <c r="T76" s="10">
        <f t="shared" si="34"/>
        <v>2451.510951063327</v>
      </c>
      <c r="V76">
        <f t="shared" si="52"/>
        <v>42</v>
      </c>
      <c r="W76" s="10">
        <f t="shared" si="53"/>
        <v>16050.732505263391</v>
      </c>
      <c r="X76" s="10">
        <f>IF(OR(W76&lt;=0,V76&gt;Financiamento_EV!$C$7),0,W76*Financiamento_EV!$C$9)</f>
        <v>0</v>
      </c>
      <c r="Y76" s="10">
        <f t="shared" si="35"/>
        <v>16050.732505263391</v>
      </c>
      <c r="Z76" s="10">
        <f>IF(Y76&lt;=0,0,Y76*Financiamento_EV!$C$6)</f>
        <v>272.8624525894777</v>
      </c>
      <c r="AA76" s="10">
        <f>IF(Y76&lt;=0,0,IF(Financiamento_EV!$C$6=0,Y76/(Financiamento_EV!$C$7-V76+1),Y76*Financiamento_EV!$C$6/(1-(1+Financiamento_EV!$C$6)^(-(Financiamento_EV!$C$7-V76+1)))))</f>
        <v>2451.5109510632838</v>
      </c>
      <c r="AB76" s="10">
        <f t="shared" si="36"/>
        <v>2178.6484984738063</v>
      </c>
      <c r="AC76" s="10">
        <f>IF(Y76&lt;=0,0,MIN(IF(ISNUMBER(INDEX(Financiamento_EV!$I$17:$I$136,V76)),MAX(0,INDEX(Financiamento_EV!$I$17:$I$136,V76)),IF(V76&gt;=Financiamento_EV!$C$11,Financiamento_EV!$C$10,0)),MAX(0,Y76-AB76)))</f>
        <v>0</v>
      </c>
      <c r="AD76" s="10">
        <f>IF(OR(Y76&lt;=0,V76&lt;Financiamento_EV!$C$11),0,MIN(MAX(0,Financiamento_EV!$F$5-AA76),MAX(0,Y76-AB76-AC76)))</f>
        <v>6.2300387071445584E-11</v>
      </c>
      <c r="AE76" s="10">
        <f t="shared" si="37"/>
        <v>2451.5109510633461</v>
      </c>
      <c r="AF76" s="10">
        <f t="shared" si="38"/>
        <v>13872.084006789522</v>
      </c>
      <c r="AG76" s="10">
        <f t="shared" si="39"/>
        <v>6.2300387071445584E-11</v>
      </c>
      <c r="AI76">
        <f t="shared" si="40"/>
        <v>42</v>
      </c>
      <c r="AJ76">
        <f t="shared" si="41"/>
        <v>13872.084006789832</v>
      </c>
      <c r="AK76">
        <f t="shared" si="42"/>
        <v>13872.084006789832</v>
      </c>
      <c r="AL76">
        <f t="shared" si="43"/>
        <v>13872.084006789522</v>
      </c>
      <c r="AM76">
        <f t="shared" si="44"/>
        <v>42</v>
      </c>
      <c r="AN76">
        <f t="shared" si="45"/>
        <v>2451.510951063327</v>
      </c>
      <c r="AO76">
        <f t="shared" si="46"/>
        <v>2451.510951063327</v>
      </c>
      <c r="AP76">
        <f t="shared" si="47"/>
        <v>2451.5109510633461</v>
      </c>
    </row>
    <row r="77" spans="1:42">
      <c r="A77">
        <f t="shared" si="48"/>
        <v>43</v>
      </c>
      <c r="B77" s="10">
        <f t="shared" si="49"/>
        <v>13872.084006789832</v>
      </c>
      <c r="C77" s="10">
        <f>IF(OR(B77&lt;=0,A77&gt;Financiamento_EV!$C$7),0,B77*Financiamento_EV!$C$9)</f>
        <v>0</v>
      </c>
      <c r="D77" s="10">
        <f t="shared" si="27"/>
        <v>13872.084006789832</v>
      </c>
      <c r="E77" s="10">
        <f>IF(D77&lt;=0,0,D77*Financiamento_EV!$C$6)</f>
        <v>235.82542811542714</v>
      </c>
      <c r="F77" s="10">
        <f>IF(D77&lt;=0,0,IF(Financiamento_EV!$C$6=0,D77/(Financiamento_EV!$C$7-A77+1),D77*Financiamento_EV!$C$6/(1-(1+Financiamento_EV!$C$6)^(-(Financiamento_EV!$C$7-A77+1)))))</f>
        <v>2451.5109510633238</v>
      </c>
      <c r="G77" s="10">
        <f t="shared" si="28"/>
        <v>2215.6855229478965</v>
      </c>
      <c r="H77" s="10">
        <f t="shared" si="29"/>
        <v>11656.398483841935</v>
      </c>
      <c r="I77" s="10">
        <f t="shared" si="30"/>
        <v>2451.5109510633238</v>
      </c>
      <c r="K77">
        <f t="shared" si="50"/>
        <v>43</v>
      </c>
      <c r="L77" s="10">
        <f t="shared" si="51"/>
        <v>13872.084006789832</v>
      </c>
      <c r="M77" s="10">
        <f>IF(OR(L77&lt;=0,K77&gt;Financiamento_EV!$C$7),0,L77*Financiamento_EV!$C$9)</f>
        <v>0</v>
      </c>
      <c r="N77" s="10">
        <f t="shared" si="31"/>
        <v>13872.084006789832</v>
      </c>
      <c r="O77" s="10">
        <f>IF(N77&lt;=0,0,N77*Financiamento_EV!$C$6)</f>
        <v>235.82542811542714</v>
      </c>
      <c r="P77" s="10">
        <f>IF(N77&lt;=0,0,IF(Financiamento_EV!$C$6=0,N77/(Financiamento_EV!$C$7-K77+1),N77*Financiamento_EV!$C$6/(1-(1+Financiamento_EV!$C$6)^(-(Financiamento_EV!$C$7-K77+1)))))</f>
        <v>2451.5109510633238</v>
      </c>
      <c r="Q77" s="10">
        <f t="shared" si="32"/>
        <v>2215.6855229478965</v>
      </c>
      <c r="R77" s="10">
        <f>IF(N77&lt;=0,0,MIN(IF(ISNUMBER(INDEX(Financiamento_EV!$I$17:$I$136,K77)),MAX(0,INDEX(Financiamento_EV!$I$17:$I$136,K77)),IF(K77&gt;=Financiamento_EV!$C$11,Financiamento_EV!$C$10,0)),MAX(0,N77-Q77)))</f>
        <v>0</v>
      </c>
      <c r="S77" s="10">
        <f t="shared" si="33"/>
        <v>11656.398483841935</v>
      </c>
      <c r="T77" s="10">
        <f t="shared" si="34"/>
        <v>2451.5109510633238</v>
      </c>
      <c r="V77">
        <f t="shared" si="52"/>
        <v>43</v>
      </c>
      <c r="W77" s="10">
        <f t="shared" si="53"/>
        <v>13872.084006789522</v>
      </c>
      <c r="X77" s="10">
        <f>IF(OR(W77&lt;=0,V77&gt;Financiamento_EV!$C$7),0,W77*Financiamento_EV!$C$9)</f>
        <v>0</v>
      </c>
      <c r="Y77" s="10">
        <f t="shared" si="35"/>
        <v>13872.084006789522</v>
      </c>
      <c r="Z77" s="10">
        <f>IF(Y77&lt;=0,0,Y77*Financiamento_EV!$C$6)</f>
        <v>235.82542811542189</v>
      </c>
      <c r="AA77" s="10">
        <f>IF(Y77&lt;=0,0,IF(Financiamento_EV!$C$6=0,Y77/(Financiamento_EV!$C$7-V77+1),Y77*Financiamento_EV!$C$6/(1-(1+Financiamento_EV!$C$6)^(-(Financiamento_EV!$C$7-V77+1)))))</f>
        <v>2451.5109510632692</v>
      </c>
      <c r="AB77" s="10">
        <f t="shared" si="36"/>
        <v>2215.6855229478474</v>
      </c>
      <c r="AC77" s="10">
        <f>IF(Y77&lt;=0,0,MIN(IF(ISNUMBER(INDEX(Financiamento_EV!$I$17:$I$136,V77)),MAX(0,INDEX(Financiamento_EV!$I$17:$I$136,V77)),IF(V77&gt;=Financiamento_EV!$C$11,Financiamento_EV!$C$10,0)),MAX(0,Y77-AB77)))</f>
        <v>0</v>
      </c>
      <c r="AD77" s="10">
        <f>IF(OR(Y77&lt;=0,V77&lt;Financiamento_EV!$C$11),0,MIN(MAX(0,Financiamento_EV!$F$5-AA77),MAX(0,Y77-AB77-AC77)))</f>
        <v>7.6852302299812436E-11</v>
      </c>
      <c r="AE77" s="10">
        <f t="shared" si="37"/>
        <v>2451.5109510633461</v>
      </c>
      <c r="AF77" s="10">
        <f t="shared" si="38"/>
        <v>11656.398483841598</v>
      </c>
      <c r="AG77" s="10">
        <f t="shared" si="39"/>
        <v>7.6852302299812436E-11</v>
      </c>
      <c r="AI77">
        <f t="shared" si="40"/>
        <v>43</v>
      </c>
      <c r="AJ77">
        <f t="shared" si="41"/>
        <v>11656.398483841935</v>
      </c>
      <c r="AK77">
        <f t="shared" si="42"/>
        <v>11656.398483841935</v>
      </c>
      <c r="AL77">
        <f t="shared" si="43"/>
        <v>11656.398483841598</v>
      </c>
      <c r="AM77">
        <f t="shared" si="44"/>
        <v>43</v>
      </c>
      <c r="AN77">
        <f t="shared" si="45"/>
        <v>2451.5109510633238</v>
      </c>
      <c r="AO77">
        <f t="shared" si="46"/>
        <v>2451.5109510633238</v>
      </c>
      <c r="AP77">
        <f t="shared" si="47"/>
        <v>2451.5109510633461</v>
      </c>
    </row>
    <row r="78" spans="1:42">
      <c r="A78">
        <f t="shared" si="48"/>
        <v>44</v>
      </c>
      <c r="B78" s="10">
        <f t="shared" si="49"/>
        <v>11656.398483841935</v>
      </c>
      <c r="C78" s="10">
        <f>IF(OR(B78&lt;=0,A78&gt;Financiamento_EV!$C$7),0,B78*Financiamento_EV!$C$9)</f>
        <v>0</v>
      </c>
      <c r="D78" s="10">
        <f t="shared" si="27"/>
        <v>11656.398483841935</v>
      </c>
      <c r="E78" s="10">
        <f>IF(D78&lt;=0,0,D78*Financiamento_EV!$C$6)</f>
        <v>198.1587742253129</v>
      </c>
      <c r="F78" s="10">
        <f>IF(D78&lt;=0,0,IF(Financiamento_EV!$C$6=0,D78/(Financiamento_EV!$C$7-A78+1),D78*Financiamento_EV!$C$6/(1-(1+Financiamento_EV!$C$6)^(-(Financiamento_EV!$C$7-A78+1)))))</f>
        <v>2451.5109510633201</v>
      </c>
      <c r="G78" s="10">
        <f t="shared" si="28"/>
        <v>2253.3521768380074</v>
      </c>
      <c r="H78" s="10">
        <f t="shared" si="29"/>
        <v>9403.0463070039277</v>
      </c>
      <c r="I78" s="10">
        <f t="shared" si="30"/>
        <v>2451.5109510633201</v>
      </c>
      <c r="K78">
        <f t="shared" si="50"/>
        <v>44</v>
      </c>
      <c r="L78" s="10">
        <f t="shared" si="51"/>
        <v>11656.398483841935</v>
      </c>
      <c r="M78" s="10">
        <f>IF(OR(L78&lt;=0,K78&gt;Financiamento_EV!$C$7),0,L78*Financiamento_EV!$C$9)</f>
        <v>0</v>
      </c>
      <c r="N78" s="10">
        <f t="shared" si="31"/>
        <v>11656.398483841935</v>
      </c>
      <c r="O78" s="10">
        <f>IF(N78&lt;=0,0,N78*Financiamento_EV!$C$6)</f>
        <v>198.1587742253129</v>
      </c>
      <c r="P78" s="10">
        <f>IF(N78&lt;=0,0,IF(Financiamento_EV!$C$6=0,N78/(Financiamento_EV!$C$7-K78+1),N78*Financiamento_EV!$C$6/(1-(1+Financiamento_EV!$C$6)^(-(Financiamento_EV!$C$7-K78+1)))))</f>
        <v>2451.5109510633201</v>
      </c>
      <c r="Q78" s="10">
        <f t="shared" si="32"/>
        <v>2253.3521768380074</v>
      </c>
      <c r="R78" s="10">
        <f>IF(N78&lt;=0,0,MIN(IF(ISNUMBER(INDEX(Financiamento_EV!$I$17:$I$136,K78)),MAX(0,INDEX(Financiamento_EV!$I$17:$I$136,K78)),IF(K78&gt;=Financiamento_EV!$C$11,Financiamento_EV!$C$10,0)),MAX(0,N78-Q78)))</f>
        <v>0</v>
      </c>
      <c r="S78" s="10">
        <f t="shared" si="33"/>
        <v>9403.0463070039277</v>
      </c>
      <c r="T78" s="10">
        <f t="shared" si="34"/>
        <v>2451.5109510633201</v>
      </c>
      <c r="V78">
        <f t="shared" si="52"/>
        <v>44</v>
      </c>
      <c r="W78" s="10">
        <f t="shared" si="53"/>
        <v>11656.398483841598</v>
      </c>
      <c r="X78" s="10">
        <f>IF(OR(W78&lt;=0,V78&gt;Financiamento_EV!$C$7),0,W78*Financiamento_EV!$C$9)</f>
        <v>0</v>
      </c>
      <c r="Y78" s="10">
        <f t="shared" si="35"/>
        <v>11656.398483841598</v>
      </c>
      <c r="Z78" s="10">
        <f>IF(Y78&lt;=0,0,Y78*Financiamento_EV!$C$6)</f>
        <v>198.15877422530718</v>
      </c>
      <c r="AA78" s="10">
        <f>IF(Y78&lt;=0,0,IF(Financiamento_EV!$C$6=0,Y78/(Financiamento_EV!$C$7-V78+1),Y78*Financiamento_EV!$C$6/(1-(1+Financiamento_EV!$C$6)^(-(Financiamento_EV!$C$7-V78+1)))))</f>
        <v>2451.5109510632496</v>
      </c>
      <c r="AB78" s="10">
        <f t="shared" si="36"/>
        <v>2253.3521768379424</v>
      </c>
      <c r="AC78" s="10">
        <f>IF(Y78&lt;=0,0,MIN(IF(ISNUMBER(INDEX(Financiamento_EV!$I$17:$I$136,V78)),MAX(0,INDEX(Financiamento_EV!$I$17:$I$136,V78)),IF(V78&gt;=Financiamento_EV!$C$11,Financiamento_EV!$C$10,0)),MAX(0,Y78-AB78)))</f>
        <v>0</v>
      </c>
      <c r="AD78" s="10">
        <f>IF(OR(Y78&lt;=0,V78&lt;Financiamento_EV!$C$11),0,MIN(MAX(0,Financiamento_EV!$F$5-AA78),MAX(0,Y78-AB78-AC78)))</f>
        <v>9.6406438387930393E-11</v>
      </c>
      <c r="AE78" s="10">
        <f t="shared" si="37"/>
        <v>2451.5109510633461</v>
      </c>
      <c r="AF78" s="10">
        <f t="shared" si="38"/>
        <v>9403.0463070035603</v>
      </c>
      <c r="AG78" s="10">
        <f t="shared" si="39"/>
        <v>9.6406438387930393E-11</v>
      </c>
      <c r="AI78">
        <f t="shared" si="40"/>
        <v>44</v>
      </c>
      <c r="AJ78">
        <f t="shared" si="41"/>
        <v>9403.0463070039277</v>
      </c>
      <c r="AK78">
        <f t="shared" si="42"/>
        <v>9403.0463070039277</v>
      </c>
      <c r="AL78">
        <f t="shared" si="43"/>
        <v>9403.0463070035603</v>
      </c>
      <c r="AM78">
        <f t="shared" si="44"/>
        <v>44</v>
      </c>
      <c r="AN78">
        <f t="shared" si="45"/>
        <v>2451.5109510633201</v>
      </c>
      <c r="AO78">
        <f t="shared" si="46"/>
        <v>2451.5109510633201</v>
      </c>
      <c r="AP78">
        <f t="shared" si="47"/>
        <v>2451.5109510633461</v>
      </c>
    </row>
    <row r="79" spans="1:42">
      <c r="A79">
        <f t="shared" si="48"/>
        <v>45</v>
      </c>
      <c r="B79" s="10">
        <f t="shared" si="49"/>
        <v>9403.0463070039277</v>
      </c>
      <c r="C79" s="10">
        <f>IF(OR(B79&lt;=0,A79&gt;Financiamento_EV!$C$7),0,B79*Financiamento_EV!$C$9)</f>
        <v>0</v>
      </c>
      <c r="D79" s="10">
        <f t="shared" si="27"/>
        <v>9403.0463070039277</v>
      </c>
      <c r="E79" s="10">
        <f>IF(D79&lt;=0,0,D79*Financiamento_EV!$C$6)</f>
        <v>159.85178721906678</v>
      </c>
      <c r="F79" s="10">
        <f>IF(D79&lt;=0,0,IF(Financiamento_EV!$C$6=0,D79/(Financiamento_EV!$C$7-A79+1),D79*Financiamento_EV!$C$6/(1-(1+Financiamento_EV!$C$6)^(-(Financiamento_EV!$C$7-A79+1)))))</f>
        <v>2451.5109510633156</v>
      </c>
      <c r="G79" s="10">
        <f t="shared" si="28"/>
        <v>2291.6591638442487</v>
      </c>
      <c r="H79" s="10">
        <f t="shared" si="29"/>
        <v>7111.387143159679</v>
      </c>
      <c r="I79" s="10">
        <f t="shared" si="30"/>
        <v>2451.5109510633156</v>
      </c>
      <c r="K79">
        <f t="shared" si="50"/>
        <v>45</v>
      </c>
      <c r="L79" s="10">
        <f t="shared" si="51"/>
        <v>9403.0463070039277</v>
      </c>
      <c r="M79" s="10">
        <f>IF(OR(L79&lt;=0,K79&gt;Financiamento_EV!$C$7),0,L79*Financiamento_EV!$C$9)</f>
        <v>0</v>
      </c>
      <c r="N79" s="10">
        <f t="shared" si="31"/>
        <v>9403.0463070039277</v>
      </c>
      <c r="O79" s="10">
        <f>IF(N79&lt;=0,0,N79*Financiamento_EV!$C$6)</f>
        <v>159.85178721906678</v>
      </c>
      <c r="P79" s="10">
        <f>IF(N79&lt;=0,0,IF(Financiamento_EV!$C$6=0,N79/(Financiamento_EV!$C$7-K79+1),N79*Financiamento_EV!$C$6/(1-(1+Financiamento_EV!$C$6)^(-(Financiamento_EV!$C$7-K79+1)))))</f>
        <v>2451.5109510633156</v>
      </c>
      <c r="Q79" s="10">
        <f t="shared" si="32"/>
        <v>2291.6591638442487</v>
      </c>
      <c r="R79" s="10">
        <f>IF(N79&lt;=0,0,MIN(IF(ISNUMBER(INDEX(Financiamento_EV!$I$17:$I$136,K79)),MAX(0,INDEX(Financiamento_EV!$I$17:$I$136,K79)),IF(K79&gt;=Financiamento_EV!$C$11,Financiamento_EV!$C$10,0)),MAX(0,N79-Q79)))</f>
        <v>0</v>
      </c>
      <c r="S79" s="10">
        <f t="shared" si="33"/>
        <v>7111.387143159679</v>
      </c>
      <c r="T79" s="10">
        <f t="shared" si="34"/>
        <v>2451.5109510633156</v>
      </c>
      <c r="V79">
        <f t="shared" si="52"/>
        <v>45</v>
      </c>
      <c r="W79" s="10">
        <f t="shared" si="53"/>
        <v>9403.0463070035603</v>
      </c>
      <c r="X79" s="10">
        <f>IF(OR(W79&lt;=0,V79&gt;Financiamento_EV!$C$7),0,W79*Financiamento_EV!$C$9)</f>
        <v>0</v>
      </c>
      <c r="Y79" s="10">
        <f t="shared" si="35"/>
        <v>9403.0463070035603</v>
      </c>
      <c r="Z79" s="10">
        <f>IF(Y79&lt;=0,0,Y79*Financiamento_EV!$C$6)</f>
        <v>159.85178721906053</v>
      </c>
      <c r="AA79" s="10">
        <f>IF(Y79&lt;=0,0,IF(Financiamento_EV!$C$6=0,Y79/(Financiamento_EV!$C$7-V79+1),Y79*Financiamento_EV!$C$6/(1-(1+Financiamento_EV!$C$6)^(-(Financiamento_EV!$C$7-V79+1)))))</f>
        <v>2451.5109510632196</v>
      </c>
      <c r="AB79" s="10">
        <f t="shared" si="36"/>
        <v>2291.6591638441591</v>
      </c>
      <c r="AC79" s="10">
        <f>IF(Y79&lt;=0,0,MIN(IF(ISNUMBER(INDEX(Financiamento_EV!$I$17:$I$136,V79)),MAX(0,INDEX(Financiamento_EV!$I$17:$I$136,V79)),IF(V79&gt;=Financiamento_EV!$C$11,Financiamento_EV!$C$10,0)),MAX(0,Y79-AB79)))</f>
        <v>0</v>
      </c>
      <c r="AD79" s="10">
        <f>IF(OR(Y79&lt;=0,V79&lt;Financiamento_EV!$C$11),0,MIN(MAX(0,Financiamento_EV!$F$5-AA79),MAX(0,Y79-AB79-AC79)))</f>
        <v>1.2641976354643703E-10</v>
      </c>
      <c r="AE79" s="10">
        <f t="shared" si="37"/>
        <v>2451.5109510633461</v>
      </c>
      <c r="AF79" s="10">
        <f t="shared" si="38"/>
        <v>7111.3871431592752</v>
      </c>
      <c r="AG79" s="10">
        <f t="shared" si="39"/>
        <v>1.2641976354643703E-10</v>
      </c>
      <c r="AI79">
        <f t="shared" si="40"/>
        <v>45</v>
      </c>
      <c r="AJ79">
        <f t="shared" si="41"/>
        <v>7111.387143159679</v>
      </c>
      <c r="AK79">
        <f t="shared" si="42"/>
        <v>7111.387143159679</v>
      </c>
      <c r="AL79">
        <f t="shared" si="43"/>
        <v>7111.3871431592752</v>
      </c>
      <c r="AM79">
        <f t="shared" si="44"/>
        <v>45</v>
      </c>
      <c r="AN79">
        <f t="shared" si="45"/>
        <v>2451.5109510633156</v>
      </c>
      <c r="AO79">
        <f t="shared" si="46"/>
        <v>2451.5109510633156</v>
      </c>
      <c r="AP79">
        <f t="shared" si="47"/>
        <v>2451.5109510633461</v>
      </c>
    </row>
    <row r="80" spans="1:42">
      <c r="A80">
        <f t="shared" si="48"/>
        <v>46</v>
      </c>
      <c r="B80" s="10">
        <f t="shared" si="49"/>
        <v>7111.387143159679</v>
      </c>
      <c r="C80" s="10">
        <f>IF(OR(B80&lt;=0,A80&gt;Financiamento_EV!$C$7),0,B80*Financiamento_EV!$C$9)</f>
        <v>0</v>
      </c>
      <c r="D80" s="10">
        <f t="shared" si="27"/>
        <v>7111.387143159679</v>
      </c>
      <c r="E80" s="10">
        <f>IF(D80&lt;=0,0,D80*Financiamento_EV!$C$6)</f>
        <v>120.89358143371456</v>
      </c>
      <c r="F80" s="10">
        <f>IF(D80&lt;=0,0,IF(Financiamento_EV!$C$6=0,D80/(Financiamento_EV!$C$7-A80+1),D80*Financiamento_EV!$C$6/(1-(1+Financiamento_EV!$C$6)^(-(Financiamento_EV!$C$7-A80+1)))))</f>
        <v>2451.5109510633147</v>
      </c>
      <c r="G80" s="10">
        <f t="shared" si="28"/>
        <v>2330.6173696296</v>
      </c>
      <c r="H80" s="10">
        <f t="shared" si="29"/>
        <v>4780.769773530079</v>
      </c>
      <c r="I80" s="10">
        <f t="shared" si="30"/>
        <v>2451.5109510633147</v>
      </c>
      <c r="K80">
        <f t="shared" si="50"/>
        <v>46</v>
      </c>
      <c r="L80" s="10">
        <f t="shared" si="51"/>
        <v>7111.387143159679</v>
      </c>
      <c r="M80" s="10">
        <f>IF(OR(L80&lt;=0,K80&gt;Financiamento_EV!$C$7),0,L80*Financiamento_EV!$C$9)</f>
        <v>0</v>
      </c>
      <c r="N80" s="10">
        <f t="shared" si="31"/>
        <v>7111.387143159679</v>
      </c>
      <c r="O80" s="10">
        <f>IF(N80&lt;=0,0,N80*Financiamento_EV!$C$6)</f>
        <v>120.89358143371456</v>
      </c>
      <c r="P80" s="10">
        <f>IF(N80&lt;=0,0,IF(Financiamento_EV!$C$6=0,N80/(Financiamento_EV!$C$7-K80+1),N80*Financiamento_EV!$C$6/(1-(1+Financiamento_EV!$C$6)^(-(Financiamento_EV!$C$7-K80+1)))))</f>
        <v>2451.5109510633147</v>
      </c>
      <c r="Q80" s="10">
        <f t="shared" si="32"/>
        <v>2330.6173696296</v>
      </c>
      <c r="R80" s="10">
        <f>IF(N80&lt;=0,0,MIN(IF(ISNUMBER(INDEX(Financiamento_EV!$I$17:$I$136,K80)),MAX(0,INDEX(Financiamento_EV!$I$17:$I$136,K80)),IF(K80&gt;=Financiamento_EV!$C$11,Financiamento_EV!$C$10,0)),MAX(0,N80-Q80)))</f>
        <v>0</v>
      </c>
      <c r="S80" s="10">
        <f t="shared" si="33"/>
        <v>4780.769773530079</v>
      </c>
      <c r="T80" s="10">
        <f t="shared" si="34"/>
        <v>2451.5109510633147</v>
      </c>
      <c r="V80">
        <f t="shared" si="52"/>
        <v>46</v>
      </c>
      <c r="W80" s="10">
        <f t="shared" si="53"/>
        <v>7111.3871431592752</v>
      </c>
      <c r="X80" s="10">
        <f>IF(OR(W80&lt;=0,V80&gt;Financiamento_EV!$C$7),0,W80*Financiamento_EV!$C$9)</f>
        <v>0</v>
      </c>
      <c r="Y80" s="10">
        <f t="shared" si="35"/>
        <v>7111.3871431592752</v>
      </c>
      <c r="Z80" s="10">
        <f>IF(Y80&lt;=0,0,Y80*Financiamento_EV!$C$6)</f>
        <v>120.89358143370768</v>
      </c>
      <c r="AA80" s="10">
        <f>IF(Y80&lt;=0,0,IF(Financiamento_EV!$C$6=0,Y80/(Financiamento_EV!$C$7-V80+1),Y80*Financiamento_EV!$C$6/(1-(1+Financiamento_EV!$C$6)^(-(Financiamento_EV!$C$7-V80+1)))))</f>
        <v>2451.5109510631751</v>
      </c>
      <c r="AB80" s="10">
        <f t="shared" si="36"/>
        <v>2330.6173696294672</v>
      </c>
      <c r="AC80" s="10">
        <f>IF(Y80&lt;=0,0,MIN(IF(ISNUMBER(INDEX(Financiamento_EV!$I$17:$I$136,V80)),MAX(0,INDEX(Financiamento_EV!$I$17:$I$136,V80)),IF(V80&gt;=Financiamento_EV!$C$11,Financiamento_EV!$C$10,0)),MAX(0,Y80-AB80)))</f>
        <v>0</v>
      </c>
      <c r="AD80" s="10">
        <f>IF(OR(Y80&lt;=0,V80&lt;Financiamento_EV!$C$11),0,MIN(MAX(0,Financiamento_EV!$F$5-AA80),MAX(0,Y80-AB80-AC80)))</f>
        <v>1.7098500393331051E-10</v>
      </c>
      <c r="AE80" s="10">
        <f t="shared" si="37"/>
        <v>2451.5109510633461</v>
      </c>
      <c r="AF80" s="10">
        <f t="shared" si="38"/>
        <v>4780.769773529637</v>
      </c>
      <c r="AG80" s="10">
        <f t="shared" si="39"/>
        <v>1.7098500393331051E-10</v>
      </c>
      <c r="AI80">
        <f t="shared" si="40"/>
        <v>46</v>
      </c>
      <c r="AJ80">
        <f t="shared" si="41"/>
        <v>4780.769773530079</v>
      </c>
      <c r="AK80">
        <f t="shared" si="42"/>
        <v>4780.769773530079</v>
      </c>
      <c r="AL80">
        <f t="shared" si="43"/>
        <v>4780.769773529637</v>
      </c>
      <c r="AM80">
        <f t="shared" si="44"/>
        <v>46</v>
      </c>
      <c r="AN80">
        <f t="shared" si="45"/>
        <v>2451.5109510633147</v>
      </c>
      <c r="AO80">
        <f t="shared" si="46"/>
        <v>2451.5109510633147</v>
      </c>
      <c r="AP80">
        <f t="shared" si="47"/>
        <v>2451.5109510633461</v>
      </c>
    </row>
    <row r="81" spans="1:42">
      <c r="A81">
        <f t="shared" si="48"/>
        <v>47</v>
      </c>
      <c r="B81" s="10">
        <f t="shared" si="49"/>
        <v>4780.769773530079</v>
      </c>
      <c r="C81" s="10">
        <f>IF(OR(B81&lt;=0,A81&gt;Financiamento_EV!$C$7),0,B81*Financiamento_EV!$C$9)</f>
        <v>0</v>
      </c>
      <c r="D81" s="10">
        <f t="shared" si="27"/>
        <v>4780.769773530079</v>
      </c>
      <c r="E81" s="10">
        <f>IF(D81&lt;=0,0,D81*Financiamento_EV!$C$6)</f>
        <v>81.273086150011352</v>
      </c>
      <c r="F81" s="10">
        <f>IF(D81&lt;=0,0,IF(Financiamento_EV!$C$6=0,D81/(Financiamento_EV!$C$7-A81+1),D81*Financiamento_EV!$C$6/(1-(1+Financiamento_EV!$C$6)^(-(Financiamento_EV!$C$7-A81+1)))))</f>
        <v>2451.5109510633038</v>
      </c>
      <c r="G81" s="10">
        <f t="shared" si="28"/>
        <v>2370.2378649132925</v>
      </c>
      <c r="H81" s="10">
        <f t="shared" si="29"/>
        <v>2410.5319086167865</v>
      </c>
      <c r="I81" s="10">
        <f t="shared" si="30"/>
        <v>2451.5109510633038</v>
      </c>
      <c r="K81">
        <f t="shared" si="50"/>
        <v>47</v>
      </c>
      <c r="L81" s="10">
        <f t="shared" si="51"/>
        <v>4780.769773530079</v>
      </c>
      <c r="M81" s="10">
        <f>IF(OR(L81&lt;=0,K81&gt;Financiamento_EV!$C$7),0,L81*Financiamento_EV!$C$9)</f>
        <v>0</v>
      </c>
      <c r="N81" s="10">
        <f t="shared" si="31"/>
        <v>4780.769773530079</v>
      </c>
      <c r="O81" s="10">
        <f>IF(N81&lt;=0,0,N81*Financiamento_EV!$C$6)</f>
        <v>81.273086150011352</v>
      </c>
      <c r="P81" s="10">
        <f>IF(N81&lt;=0,0,IF(Financiamento_EV!$C$6=0,N81/(Financiamento_EV!$C$7-K81+1),N81*Financiamento_EV!$C$6/(1-(1+Financiamento_EV!$C$6)^(-(Financiamento_EV!$C$7-K81+1)))))</f>
        <v>2451.5109510633038</v>
      </c>
      <c r="Q81" s="10">
        <f t="shared" si="32"/>
        <v>2370.2378649132925</v>
      </c>
      <c r="R81" s="10">
        <f>IF(N81&lt;=0,0,MIN(IF(ISNUMBER(INDEX(Financiamento_EV!$I$17:$I$136,K81)),MAX(0,INDEX(Financiamento_EV!$I$17:$I$136,K81)),IF(K81&gt;=Financiamento_EV!$C$11,Financiamento_EV!$C$10,0)),MAX(0,N81-Q81)))</f>
        <v>0</v>
      </c>
      <c r="S81" s="10">
        <f t="shared" si="33"/>
        <v>2410.5319086167865</v>
      </c>
      <c r="T81" s="10">
        <f t="shared" si="34"/>
        <v>2451.5109510633038</v>
      </c>
      <c r="V81">
        <f t="shared" si="52"/>
        <v>47</v>
      </c>
      <c r="W81" s="10">
        <f t="shared" si="53"/>
        <v>4780.769773529637</v>
      </c>
      <c r="X81" s="10">
        <f>IF(OR(W81&lt;=0,V81&gt;Financiamento_EV!$C$7),0,W81*Financiamento_EV!$C$9)</f>
        <v>0</v>
      </c>
      <c r="Y81" s="10">
        <f t="shared" si="35"/>
        <v>4780.769773529637</v>
      </c>
      <c r="Z81" s="10">
        <f>IF(Y81&lt;=0,0,Y81*Financiamento_EV!$C$6)</f>
        <v>81.273086150003834</v>
      </c>
      <c r="AA81" s="10">
        <f>IF(Y81&lt;=0,0,IF(Financiamento_EV!$C$6=0,Y81/(Financiamento_EV!$C$7-V81+1),Y81*Financiamento_EV!$C$6/(1-(1+Financiamento_EV!$C$6)^(-(Financiamento_EV!$C$7-V81+1)))))</f>
        <v>2451.5109510630773</v>
      </c>
      <c r="AB81" s="10">
        <f t="shared" si="36"/>
        <v>2370.2378649130733</v>
      </c>
      <c r="AC81" s="10">
        <f>IF(Y81&lt;=0,0,MIN(IF(ISNUMBER(INDEX(Financiamento_EV!$I$17:$I$136,V81)),MAX(0,INDEX(Financiamento_EV!$I$17:$I$136,V81)),IF(V81&gt;=Financiamento_EV!$C$11,Financiamento_EV!$C$10,0)),MAX(0,Y81-AB81)))</f>
        <v>0</v>
      </c>
      <c r="AD81" s="10">
        <f>IF(OR(Y81&lt;=0,V81&lt;Financiamento_EV!$C$11),0,MIN(MAX(0,Financiamento_EV!$F$5-AA81),MAX(0,Y81-AB81-AC81)))</f>
        <v>2.6875568437390029E-10</v>
      </c>
      <c r="AE81" s="10">
        <f t="shared" si="37"/>
        <v>2451.5109510633461</v>
      </c>
      <c r="AF81" s="10">
        <f t="shared" si="38"/>
        <v>2410.5319086162949</v>
      </c>
      <c r="AG81" s="10">
        <f t="shared" si="39"/>
        <v>2.6875568437390029E-10</v>
      </c>
      <c r="AI81">
        <f t="shared" si="40"/>
        <v>47</v>
      </c>
      <c r="AJ81">
        <f t="shared" si="41"/>
        <v>2410.5319086167865</v>
      </c>
      <c r="AK81">
        <f t="shared" si="42"/>
        <v>2410.5319086167865</v>
      </c>
      <c r="AL81">
        <f t="shared" si="43"/>
        <v>2410.5319086162949</v>
      </c>
      <c r="AM81">
        <f t="shared" si="44"/>
        <v>47</v>
      </c>
      <c r="AN81">
        <f t="shared" si="45"/>
        <v>2451.5109510633038</v>
      </c>
      <c r="AO81">
        <f t="shared" si="46"/>
        <v>2451.5109510633038</v>
      </c>
      <c r="AP81">
        <f t="shared" si="47"/>
        <v>2451.5109510633461</v>
      </c>
    </row>
    <row r="82" spans="1:42">
      <c r="A82">
        <f t="shared" si="48"/>
        <v>48</v>
      </c>
      <c r="B82" s="10">
        <f t="shared" si="49"/>
        <v>2410.5319086167865</v>
      </c>
      <c r="C82" s="10">
        <f>IF(OR(B82&lt;=0,A82&gt;Financiamento_EV!$C$7),0,B82*Financiamento_EV!$C$9)</f>
        <v>0</v>
      </c>
      <c r="D82" s="10">
        <f t="shared" si="27"/>
        <v>2410.5319086167865</v>
      </c>
      <c r="E82" s="10">
        <f>IF(D82&lt;=0,0,D82*Financiamento_EV!$C$6)</f>
        <v>40.979042446485373</v>
      </c>
      <c r="F82" s="10">
        <f>IF(D82&lt;=0,0,IF(Financiamento_EV!$C$6=0,D82/(Financiamento_EV!$C$7-A82+1),D82*Financiamento_EV!$C$6/(1-(1+Financiamento_EV!$C$6)^(-(Financiamento_EV!$C$7-A82+1)))))</f>
        <v>2451.510951063281</v>
      </c>
      <c r="G82" s="10">
        <f t="shared" si="28"/>
        <v>2410.5319086167865</v>
      </c>
      <c r="H82" s="10">
        <f t="shared" si="29"/>
        <v>0</v>
      </c>
      <c r="I82" s="10">
        <f t="shared" si="30"/>
        <v>2451.510951063281</v>
      </c>
      <c r="K82">
        <f t="shared" si="50"/>
        <v>48</v>
      </c>
      <c r="L82" s="10">
        <f t="shared" si="51"/>
        <v>2410.5319086167865</v>
      </c>
      <c r="M82" s="10">
        <f>IF(OR(L82&lt;=0,K82&gt;Financiamento_EV!$C$7),0,L82*Financiamento_EV!$C$9)</f>
        <v>0</v>
      </c>
      <c r="N82" s="10">
        <f t="shared" si="31"/>
        <v>2410.5319086167865</v>
      </c>
      <c r="O82" s="10">
        <f>IF(N82&lt;=0,0,N82*Financiamento_EV!$C$6)</f>
        <v>40.979042446485373</v>
      </c>
      <c r="P82" s="10">
        <f>IF(N82&lt;=0,0,IF(Financiamento_EV!$C$6=0,N82/(Financiamento_EV!$C$7-K82+1),N82*Financiamento_EV!$C$6/(1-(1+Financiamento_EV!$C$6)^(-(Financiamento_EV!$C$7-K82+1)))))</f>
        <v>2451.510951063281</v>
      </c>
      <c r="Q82" s="10">
        <f t="shared" si="32"/>
        <v>2410.5319086167865</v>
      </c>
      <c r="R82" s="10">
        <f>IF(N82&lt;=0,0,MIN(IF(ISNUMBER(INDEX(Financiamento_EV!$I$17:$I$136,K82)),MAX(0,INDEX(Financiamento_EV!$I$17:$I$136,K82)),IF(K82&gt;=Financiamento_EV!$C$11,Financiamento_EV!$C$10,0)),MAX(0,N82-Q82)))</f>
        <v>0</v>
      </c>
      <c r="S82" s="10">
        <f t="shared" si="33"/>
        <v>0</v>
      </c>
      <c r="T82" s="10">
        <f t="shared" si="34"/>
        <v>2451.510951063281</v>
      </c>
      <c r="V82">
        <f t="shared" si="52"/>
        <v>48</v>
      </c>
      <c r="W82" s="10">
        <f t="shared" si="53"/>
        <v>2410.5319086162949</v>
      </c>
      <c r="X82" s="10">
        <f>IF(OR(W82&lt;=0,V82&gt;Financiamento_EV!$C$7),0,W82*Financiamento_EV!$C$9)</f>
        <v>0</v>
      </c>
      <c r="Y82" s="10">
        <f t="shared" si="35"/>
        <v>2410.5319086162949</v>
      </c>
      <c r="Z82" s="10">
        <f>IF(Y82&lt;=0,0,Y82*Financiamento_EV!$C$6)</f>
        <v>40.979042446477017</v>
      </c>
      <c r="AA82" s="10">
        <f>IF(Y82&lt;=0,0,IF(Financiamento_EV!$C$6=0,Y82/(Financiamento_EV!$C$7-V82+1),Y82*Financiamento_EV!$C$6/(1-(1+Financiamento_EV!$C$6)^(-(Financiamento_EV!$C$7-V82+1)))))</f>
        <v>2451.5109510627808</v>
      </c>
      <c r="AB82" s="10">
        <f t="shared" si="36"/>
        <v>2410.5319086162949</v>
      </c>
      <c r="AC82" s="10">
        <f>IF(Y82&lt;=0,0,MIN(IF(ISNUMBER(INDEX(Financiamento_EV!$I$17:$I$136,V82)),MAX(0,INDEX(Financiamento_EV!$I$17:$I$136,V82)),IF(V82&gt;=Financiamento_EV!$C$11,Financiamento_EV!$C$10,0)),MAX(0,Y82-AB82)))</f>
        <v>0</v>
      </c>
      <c r="AD82" s="10">
        <f>IF(OR(Y82&lt;=0,V82&lt;Financiamento_EV!$C$11),0,MIN(MAX(0,Financiamento_EV!$F$5-AA82),MAX(0,Y82-AB82-AC82)))</f>
        <v>0</v>
      </c>
      <c r="AE82" s="10">
        <f t="shared" si="37"/>
        <v>2451.5109510627808</v>
      </c>
      <c r="AF82" s="10">
        <f t="shared" si="38"/>
        <v>0</v>
      </c>
      <c r="AG82" s="10">
        <f t="shared" si="39"/>
        <v>0</v>
      </c>
      <c r="AI82">
        <f t="shared" si="40"/>
        <v>48</v>
      </c>
      <c r="AJ82">
        <f t="shared" si="41"/>
        <v>0</v>
      </c>
      <c r="AK82">
        <f t="shared" si="42"/>
        <v>0</v>
      </c>
      <c r="AL82">
        <f t="shared" si="43"/>
        <v>0</v>
      </c>
      <c r="AM82">
        <f t="shared" si="44"/>
        <v>48</v>
      </c>
      <c r="AN82">
        <f t="shared" si="45"/>
        <v>2451.510951063281</v>
      </c>
      <c r="AO82">
        <f t="shared" si="46"/>
        <v>2451.510951063281</v>
      </c>
      <c r="AP82">
        <f t="shared" si="47"/>
        <v>2451.5109510627808</v>
      </c>
    </row>
    <row r="83" spans="1:42">
      <c r="A83">
        <f t="shared" si="48"/>
        <v>49</v>
      </c>
      <c r="B83" s="10">
        <f t="shared" si="49"/>
        <v>0</v>
      </c>
      <c r="C83" s="10">
        <f>IF(OR(B83&lt;=0,A83&gt;Financiamento_EV!$C$7),0,B83*Financiamento_EV!$C$9)</f>
        <v>0</v>
      </c>
      <c r="D83" s="10">
        <f t="shared" si="27"/>
        <v>0</v>
      </c>
      <c r="E83" s="10">
        <f>IF(D83&lt;=0,0,D83*Financiamento_EV!$C$6)</f>
        <v>0</v>
      </c>
      <c r="F83" s="10">
        <f>IF(D83&lt;=0,0,IF(Financiamento_EV!$C$6=0,D83/(Financiamento_EV!$C$7-A83+1),D83*Financiamento_EV!$C$6/(1-(1+Financiamento_EV!$C$6)^(-(Financiamento_EV!$C$7-A83+1)))))</f>
        <v>0</v>
      </c>
      <c r="G83" s="10">
        <f t="shared" si="28"/>
        <v>0</v>
      </c>
      <c r="H83" s="10">
        <f t="shared" si="29"/>
        <v>0</v>
      </c>
      <c r="I83" s="10">
        <f t="shared" si="30"/>
        <v>0</v>
      </c>
      <c r="K83">
        <f t="shared" si="50"/>
        <v>49</v>
      </c>
      <c r="L83" s="10">
        <f t="shared" si="51"/>
        <v>0</v>
      </c>
      <c r="M83" s="10">
        <f>IF(OR(L83&lt;=0,K83&gt;Financiamento_EV!$C$7),0,L83*Financiamento_EV!$C$9)</f>
        <v>0</v>
      </c>
      <c r="N83" s="10">
        <f t="shared" si="31"/>
        <v>0</v>
      </c>
      <c r="O83" s="10">
        <f>IF(N83&lt;=0,0,N83*Financiamento_EV!$C$6)</f>
        <v>0</v>
      </c>
      <c r="P83" s="10">
        <f>IF(N83&lt;=0,0,IF(Financiamento_EV!$C$6=0,N83/(Financiamento_EV!$C$7-K83+1),N83*Financiamento_EV!$C$6/(1-(1+Financiamento_EV!$C$6)^(-(Financiamento_EV!$C$7-K83+1)))))</f>
        <v>0</v>
      </c>
      <c r="Q83" s="10">
        <f t="shared" si="32"/>
        <v>0</v>
      </c>
      <c r="R83" s="10">
        <f>IF(N83&lt;=0,0,MIN(IF(ISNUMBER(INDEX(Financiamento_EV!$I$17:$I$136,K83)),MAX(0,INDEX(Financiamento_EV!$I$17:$I$136,K83)),IF(K83&gt;=Financiamento_EV!$C$11,Financiamento_EV!$C$10,0)),MAX(0,N83-Q83)))</f>
        <v>0</v>
      </c>
      <c r="S83" s="10">
        <f t="shared" si="33"/>
        <v>0</v>
      </c>
      <c r="T83" s="10">
        <f t="shared" si="34"/>
        <v>0</v>
      </c>
      <c r="V83">
        <f t="shared" si="52"/>
        <v>49</v>
      </c>
      <c r="W83" s="10">
        <f t="shared" si="53"/>
        <v>0</v>
      </c>
      <c r="X83" s="10">
        <f>IF(OR(W83&lt;=0,V83&gt;Financiamento_EV!$C$7),0,W83*Financiamento_EV!$C$9)</f>
        <v>0</v>
      </c>
      <c r="Y83" s="10">
        <f t="shared" si="35"/>
        <v>0</v>
      </c>
      <c r="Z83" s="10">
        <f>IF(Y83&lt;=0,0,Y83*Financiamento_EV!$C$6)</f>
        <v>0</v>
      </c>
      <c r="AA83" s="10">
        <f>IF(Y83&lt;=0,0,IF(Financiamento_EV!$C$6=0,Y83/(Financiamento_EV!$C$7-V83+1),Y83*Financiamento_EV!$C$6/(1-(1+Financiamento_EV!$C$6)^(-(Financiamento_EV!$C$7-V83+1)))))</f>
        <v>0</v>
      </c>
      <c r="AB83" s="10">
        <f t="shared" si="36"/>
        <v>0</v>
      </c>
      <c r="AC83" s="10">
        <f>IF(Y83&lt;=0,0,MIN(IF(ISNUMBER(INDEX(Financiamento_EV!$I$17:$I$136,V83)),MAX(0,INDEX(Financiamento_EV!$I$17:$I$136,V83)),IF(V83&gt;=Financiamento_EV!$C$11,Financiamento_EV!$C$10,0)),MAX(0,Y83-AB83)))</f>
        <v>0</v>
      </c>
      <c r="AD83" s="10">
        <f>IF(OR(Y83&lt;=0,V83&lt;Financiamento_EV!$C$11),0,MIN(MAX(0,Financiamento_EV!$F$5-AA83),MAX(0,Y83-AB83-AC83)))</f>
        <v>0</v>
      </c>
      <c r="AE83" s="10">
        <f t="shared" si="37"/>
        <v>0</v>
      </c>
      <c r="AF83" s="10">
        <f t="shared" si="38"/>
        <v>0</v>
      </c>
      <c r="AG83" s="10">
        <f t="shared" si="39"/>
        <v>0</v>
      </c>
      <c r="AI83">
        <f t="shared" si="40"/>
        <v>49</v>
      </c>
      <c r="AJ83">
        <f t="shared" si="41"/>
        <v>0</v>
      </c>
      <c r="AK83">
        <f t="shared" si="42"/>
        <v>0</v>
      </c>
      <c r="AL83">
        <f t="shared" si="43"/>
        <v>0</v>
      </c>
      <c r="AM83">
        <f t="shared" si="44"/>
        <v>49</v>
      </c>
      <c r="AN83">
        <f t="shared" si="45"/>
        <v>0</v>
      </c>
      <c r="AO83">
        <f t="shared" si="46"/>
        <v>0</v>
      </c>
      <c r="AP83">
        <f t="shared" si="47"/>
        <v>0</v>
      </c>
    </row>
    <row r="84" spans="1:42">
      <c r="A84">
        <f t="shared" si="48"/>
        <v>50</v>
      </c>
      <c r="B84" s="10">
        <f t="shared" si="49"/>
        <v>0</v>
      </c>
      <c r="C84" s="10">
        <f>IF(OR(B84&lt;=0,A84&gt;Financiamento_EV!$C$7),0,B84*Financiamento_EV!$C$9)</f>
        <v>0</v>
      </c>
      <c r="D84" s="10">
        <f t="shared" si="27"/>
        <v>0</v>
      </c>
      <c r="E84" s="10">
        <f>IF(D84&lt;=0,0,D84*Financiamento_EV!$C$6)</f>
        <v>0</v>
      </c>
      <c r="F84" s="10">
        <f>IF(D84&lt;=0,0,IF(Financiamento_EV!$C$6=0,D84/(Financiamento_EV!$C$7-A84+1),D84*Financiamento_EV!$C$6/(1-(1+Financiamento_EV!$C$6)^(-(Financiamento_EV!$C$7-A84+1)))))</f>
        <v>0</v>
      </c>
      <c r="G84" s="10">
        <f t="shared" si="28"/>
        <v>0</v>
      </c>
      <c r="H84" s="10">
        <f t="shared" si="29"/>
        <v>0</v>
      </c>
      <c r="I84" s="10">
        <f t="shared" si="30"/>
        <v>0</v>
      </c>
      <c r="K84">
        <f t="shared" si="50"/>
        <v>50</v>
      </c>
      <c r="L84" s="10">
        <f t="shared" si="51"/>
        <v>0</v>
      </c>
      <c r="M84" s="10">
        <f>IF(OR(L84&lt;=0,K84&gt;Financiamento_EV!$C$7),0,L84*Financiamento_EV!$C$9)</f>
        <v>0</v>
      </c>
      <c r="N84" s="10">
        <f t="shared" si="31"/>
        <v>0</v>
      </c>
      <c r="O84" s="10">
        <f>IF(N84&lt;=0,0,N84*Financiamento_EV!$C$6)</f>
        <v>0</v>
      </c>
      <c r="P84" s="10">
        <f>IF(N84&lt;=0,0,IF(Financiamento_EV!$C$6=0,N84/(Financiamento_EV!$C$7-K84+1),N84*Financiamento_EV!$C$6/(1-(1+Financiamento_EV!$C$6)^(-(Financiamento_EV!$C$7-K84+1)))))</f>
        <v>0</v>
      </c>
      <c r="Q84" s="10">
        <f t="shared" si="32"/>
        <v>0</v>
      </c>
      <c r="R84" s="10">
        <f>IF(N84&lt;=0,0,MIN(IF(ISNUMBER(INDEX(Financiamento_EV!$I$17:$I$136,K84)),MAX(0,INDEX(Financiamento_EV!$I$17:$I$136,K84)),IF(K84&gt;=Financiamento_EV!$C$11,Financiamento_EV!$C$10,0)),MAX(0,N84-Q84)))</f>
        <v>0</v>
      </c>
      <c r="S84" s="10">
        <f t="shared" si="33"/>
        <v>0</v>
      </c>
      <c r="T84" s="10">
        <f t="shared" si="34"/>
        <v>0</v>
      </c>
      <c r="V84">
        <f t="shared" si="52"/>
        <v>50</v>
      </c>
      <c r="W84" s="10">
        <f t="shared" si="53"/>
        <v>0</v>
      </c>
      <c r="X84" s="10">
        <f>IF(OR(W84&lt;=0,V84&gt;Financiamento_EV!$C$7),0,W84*Financiamento_EV!$C$9)</f>
        <v>0</v>
      </c>
      <c r="Y84" s="10">
        <f t="shared" si="35"/>
        <v>0</v>
      </c>
      <c r="Z84" s="10">
        <f>IF(Y84&lt;=0,0,Y84*Financiamento_EV!$C$6)</f>
        <v>0</v>
      </c>
      <c r="AA84" s="10">
        <f>IF(Y84&lt;=0,0,IF(Financiamento_EV!$C$6=0,Y84/(Financiamento_EV!$C$7-V84+1),Y84*Financiamento_EV!$C$6/(1-(1+Financiamento_EV!$C$6)^(-(Financiamento_EV!$C$7-V84+1)))))</f>
        <v>0</v>
      </c>
      <c r="AB84" s="10">
        <f t="shared" si="36"/>
        <v>0</v>
      </c>
      <c r="AC84" s="10">
        <f>IF(Y84&lt;=0,0,MIN(IF(ISNUMBER(INDEX(Financiamento_EV!$I$17:$I$136,V84)),MAX(0,INDEX(Financiamento_EV!$I$17:$I$136,V84)),IF(V84&gt;=Financiamento_EV!$C$11,Financiamento_EV!$C$10,0)),MAX(0,Y84-AB84)))</f>
        <v>0</v>
      </c>
      <c r="AD84" s="10">
        <f>IF(OR(Y84&lt;=0,V84&lt;Financiamento_EV!$C$11),0,MIN(MAX(0,Financiamento_EV!$F$5-AA84),MAX(0,Y84-AB84-AC84)))</f>
        <v>0</v>
      </c>
      <c r="AE84" s="10">
        <f t="shared" si="37"/>
        <v>0</v>
      </c>
      <c r="AF84" s="10">
        <f t="shared" si="38"/>
        <v>0</v>
      </c>
      <c r="AG84" s="10">
        <f t="shared" si="39"/>
        <v>0</v>
      </c>
      <c r="AI84">
        <f t="shared" si="40"/>
        <v>50</v>
      </c>
      <c r="AJ84">
        <f t="shared" si="41"/>
        <v>0</v>
      </c>
      <c r="AK84">
        <f t="shared" si="42"/>
        <v>0</v>
      </c>
      <c r="AL84">
        <f t="shared" si="43"/>
        <v>0</v>
      </c>
      <c r="AM84">
        <f t="shared" si="44"/>
        <v>50</v>
      </c>
      <c r="AN84">
        <f t="shared" si="45"/>
        <v>0</v>
      </c>
      <c r="AO84">
        <f t="shared" si="46"/>
        <v>0</v>
      </c>
      <c r="AP84">
        <f t="shared" si="47"/>
        <v>0</v>
      </c>
    </row>
    <row r="85" spans="1:42">
      <c r="A85">
        <f t="shared" si="48"/>
        <v>51</v>
      </c>
      <c r="B85" s="10">
        <f t="shared" si="49"/>
        <v>0</v>
      </c>
      <c r="C85" s="10">
        <f>IF(OR(B85&lt;=0,A85&gt;Financiamento_EV!$C$7),0,B85*Financiamento_EV!$C$9)</f>
        <v>0</v>
      </c>
      <c r="D85" s="10">
        <f t="shared" si="27"/>
        <v>0</v>
      </c>
      <c r="E85" s="10">
        <f>IF(D85&lt;=0,0,D85*Financiamento_EV!$C$6)</f>
        <v>0</v>
      </c>
      <c r="F85" s="10">
        <f>IF(D85&lt;=0,0,IF(Financiamento_EV!$C$6=0,D85/(Financiamento_EV!$C$7-A85+1),D85*Financiamento_EV!$C$6/(1-(1+Financiamento_EV!$C$6)^(-(Financiamento_EV!$C$7-A85+1)))))</f>
        <v>0</v>
      </c>
      <c r="G85" s="10">
        <f t="shared" si="28"/>
        <v>0</v>
      </c>
      <c r="H85" s="10">
        <f t="shared" si="29"/>
        <v>0</v>
      </c>
      <c r="I85" s="10">
        <f t="shared" si="30"/>
        <v>0</v>
      </c>
      <c r="K85">
        <f t="shared" si="50"/>
        <v>51</v>
      </c>
      <c r="L85" s="10">
        <f t="shared" si="51"/>
        <v>0</v>
      </c>
      <c r="M85" s="10">
        <f>IF(OR(L85&lt;=0,K85&gt;Financiamento_EV!$C$7),0,L85*Financiamento_EV!$C$9)</f>
        <v>0</v>
      </c>
      <c r="N85" s="10">
        <f t="shared" si="31"/>
        <v>0</v>
      </c>
      <c r="O85" s="10">
        <f>IF(N85&lt;=0,0,N85*Financiamento_EV!$C$6)</f>
        <v>0</v>
      </c>
      <c r="P85" s="10">
        <f>IF(N85&lt;=0,0,IF(Financiamento_EV!$C$6=0,N85/(Financiamento_EV!$C$7-K85+1),N85*Financiamento_EV!$C$6/(1-(1+Financiamento_EV!$C$6)^(-(Financiamento_EV!$C$7-K85+1)))))</f>
        <v>0</v>
      </c>
      <c r="Q85" s="10">
        <f t="shared" si="32"/>
        <v>0</v>
      </c>
      <c r="R85" s="10">
        <f>IF(N85&lt;=0,0,MIN(IF(ISNUMBER(INDEX(Financiamento_EV!$I$17:$I$136,K85)),MAX(0,INDEX(Financiamento_EV!$I$17:$I$136,K85)),IF(K85&gt;=Financiamento_EV!$C$11,Financiamento_EV!$C$10,0)),MAX(0,N85-Q85)))</f>
        <v>0</v>
      </c>
      <c r="S85" s="10">
        <f t="shared" si="33"/>
        <v>0</v>
      </c>
      <c r="T85" s="10">
        <f t="shared" si="34"/>
        <v>0</v>
      </c>
      <c r="V85">
        <f t="shared" si="52"/>
        <v>51</v>
      </c>
      <c r="W85" s="10">
        <f t="shared" si="53"/>
        <v>0</v>
      </c>
      <c r="X85" s="10">
        <f>IF(OR(W85&lt;=0,V85&gt;Financiamento_EV!$C$7),0,W85*Financiamento_EV!$C$9)</f>
        <v>0</v>
      </c>
      <c r="Y85" s="10">
        <f t="shared" si="35"/>
        <v>0</v>
      </c>
      <c r="Z85" s="10">
        <f>IF(Y85&lt;=0,0,Y85*Financiamento_EV!$C$6)</f>
        <v>0</v>
      </c>
      <c r="AA85" s="10">
        <f>IF(Y85&lt;=0,0,IF(Financiamento_EV!$C$6=0,Y85/(Financiamento_EV!$C$7-V85+1),Y85*Financiamento_EV!$C$6/(1-(1+Financiamento_EV!$C$6)^(-(Financiamento_EV!$C$7-V85+1)))))</f>
        <v>0</v>
      </c>
      <c r="AB85" s="10">
        <f t="shared" si="36"/>
        <v>0</v>
      </c>
      <c r="AC85" s="10">
        <f>IF(Y85&lt;=0,0,MIN(IF(ISNUMBER(INDEX(Financiamento_EV!$I$17:$I$136,V85)),MAX(0,INDEX(Financiamento_EV!$I$17:$I$136,V85)),IF(V85&gt;=Financiamento_EV!$C$11,Financiamento_EV!$C$10,0)),MAX(0,Y85-AB85)))</f>
        <v>0</v>
      </c>
      <c r="AD85" s="10">
        <f>IF(OR(Y85&lt;=0,V85&lt;Financiamento_EV!$C$11),0,MIN(MAX(0,Financiamento_EV!$F$5-AA85),MAX(0,Y85-AB85-AC85)))</f>
        <v>0</v>
      </c>
      <c r="AE85" s="10">
        <f t="shared" si="37"/>
        <v>0</v>
      </c>
      <c r="AF85" s="10">
        <f t="shared" si="38"/>
        <v>0</v>
      </c>
      <c r="AG85" s="10">
        <f t="shared" si="39"/>
        <v>0</v>
      </c>
      <c r="AI85">
        <f t="shared" si="40"/>
        <v>51</v>
      </c>
      <c r="AJ85">
        <f t="shared" si="41"/>
        <v>0</v>
      </c>
      <c r="AK85">
        <f t="shared" si="42"/>
        <v>0</v>
      </c>
      <c r="AL85">
        <f t="shared" si="43"/>
        <v>0</v>
      </c>
      <c r="AM85">
        <f t="shared" si="44"/>
        <v>51</v>
      </c>
      <c r="AN85">
        <f t="shared" si="45"/>
        <v>0</v>
      </c>
      <c r="AO85">
        <f t="shared" si="46"/>
        <v>0</v>
      </c>
      <c r="AP85">
        <f t="shared" si="47"/>
        <v>0</v>
      </c>
    </row>
    <row r="86" spans="1:42">
      <c r="A86">
        <f t="shared" si="48"/>
        <v>52</v>
      </c>
      <c r="B86" s="10">
        <f t="shared" si="49"/>
        <v>0</v>
      </c>
      <c r="C86" s="10">
        <f>IF(OR(B86&lt;=0,A86&gt;Financiamento_EV!$C$7),0,B86*Financiamento_EV!$C$9)</f>
        <v>0</v>
      </c>
      <c r="D86" s="10">
        <f t="shared" si="27"/>
        <v>0</v>
      </c>
      <c r="E86" s="10">
        <f>IF(D86&lt;=0,0,D86*Financiamento_EV!$C$6)</f>
        <v>0</v>
      </c>
      <c r="F86" s="10">
        <f>IF(D86&lt;=0,0,IF(Financiamento_EV!$C$6=0,D86/(Financiamento_EV!$C$7-A86+1),D86*Financiamento_EV!$C$6/(1-(1+Financiamento_EV!$C$6)^(-(Financiamento_EV!$C$7-A86+1)))))</f>
        <v>0</v>
      </c>
      <c r="G86" s="10">
        <f t="shared" si="28"/>
        <v>0</v>
      </c>
      <c r="H86" s="10">
        <f t="shared" si="29"/>
        <v>0</v>
      </c>
      <c r="I86" s="10">
        <f t="shared" si="30"/>
        <v>0</v>
      </c>
      <c r="K86">
        <f t="shared" si="50"/>
        <v>52</v>
      </c>
      <c r="L86" s="10">
        <f t="shared" si="51"/>
        <v>0</v>
      </c>
      <c r="M86" s="10">
        <f>IF(OR(L86&lt;=0,K86&gt;Financiamento_EV!$C$7),0,L86*Financiamento_EV!$C$9)</f>
        <v>0</v>
      </c>
      <c r="N86" s="10">
        <f t="shared" si="31"/>
        <v>0</v>
      </c>
      <c r="O86" s="10">
        <f>IF(N86&lt;=0,0,N86*Financiamento_EV!$C$6)</f>
        <v>0</v>
      </c>
      <c r="P86" s="10">
        <f>IF(N86&lt;=0,0,IF(Financiamento_EV!$C$6=0,N86/(Financiamento_EV!$C$7-K86+1),N86*Financiamento_EV!$C$6/(1-(1+Financiamento_EV!$C$6)^(-(Financiamento_EV!$C$7-K86+1)))))</f>
        <v>0</v>
      </c>
      <c r="Q86" s="10">
        <f t="shared" si="32"/>
        <v>0</v>
      </c>
      <c r="R86" s="10">
        <f>IF(N86&lt;=0,0,MIN(IF(ISNUMBER(INDEX(Financiamento_EV!$I$17:$I$136,K86)),MAX(0,INDEX(Financiamento_EV!$I$17:$I$136,K86)),IF(K86&gt;=Financiamento_EV!$C$11,Financiamento_EV!$C$10,0)),MAX(0,N86-Q86)))</f>
        <v>0</v>
      </c>
      <c r="S86" s="10">
        <f t="shared" si="33"/>
        <v>0</v>
      </c>
      <c r="T86" s="10">
        <f t="shared" si="34"/>
        <v>0</v>
      </c>
      <c r="V86">
        <f t="shared" si="52"/>
        <v>52</v>
      </c>
      <c r="W86" s="10">
        <f t="shared" si="53"/>
        <v>0</v>
      </c>
      <c r="X86" s="10">
        <f>IF(OR(W86&lt;=0,V86&gt;Financiamento_EV!$C$7),0,W86*Financiamento_EV!$C$9)</f>
        <v>0</v>
      </c>
      <c r="Y86" s="10">
        <f t="shared" si="35"/>
        <v>0</v>
      </c>
      <c r="Z86" s="10">
        <f>IF(Y86&lt;=0,0,Y86*Financiamento_EV!$C$6)</f>
        <v>0</v>
      </c>
      <c r="AA86" s="10">
        <f>IF(Y86&lt;=0,0,IF(Financiamento_EV!$C$6=0,Y86/(Financiamento_EV!$C$7-V86+1),Y86*Financiamento_EV!$C$6/(1-(1+Financiamento_EV!$C$6)^(-(Financiamento_EV!$C$7-V86+1)))))</f>
        <v>0</v>
      </c>
      <c r="AB86" s="10">
        <f t="shared" si="36"/>
        <v>0</v>
      </c>
      <c r="AC86" s="10">
        <f>IF(Y86&lt;=0,0,MIN(IF(ISNUMBER(INDEX(Financiamento_EV!$I$17:$I$136,V86)),MAX(0,INDEX(Financiamento_EV!$I$17:$I$136,V86)),IF(V86&gt;=Financiamento_EV!$C$11,Financiamento_EV!$C$10,0)),MAX(0,Y86-AB86)))</f>
        <v>0</v>
      </c>
      <c r="AD86" s="10">
        <f>IF(OR(Y86&lt;=0,V86&lt;Financiamento_EV!$C$11),0,MIN(MAX(0,Financiamento_EV!$F$5-AA86),MAX(0,Y86-AB86-AC86)))</f>
        <v>0</v>
      </c>
      <c r="AE86" s="10">
        <f t="shared" si="37"/>
        <v>0</v>
      </c>
      <c r="AF86" s="10">
        <f t="shared" si="38"/>
        <v>0</v>
      </c>
      <c r="AG86" s="10">
        <f t="shared" si="39"/>
        <v>0</v>
      </c>
      <c r="AI86">
        <f t="shared" si="40"/>
        <v>52</v>
      </c>
      <c r="AJ86">
        <f t="shared" si="41"/>
        <v>0</v>
      </c>
      <c r="AK86">
        <f t="shared" si="42"/>
        <v>0</v>
      </c>
      <c r="AL86">
        <f t="shared" si="43"/>
        <v>0</v>
      </c>
      <c r="AM86">
        <f t="shared" si="44"/>
        <v>52</v>
      </c>
      <c r="AN86">
        <f t="shared" si="45"/>
        <v>0</v>
      </c>
      <c r="AO86">
        <f t="shared" si="46"/>
        <v>0</v>
      </c>
      <c r="AP86">
        <f t="shared" si="47"/>
        <v>0</v>
      </c>
    </row>
    <row r="87" spans="1:42">
      <c r="A87">
        <f t="shared" si="48"/>
        <v>53</v>
      </c>
      <c r="B87" s="10">
        <f t="shared" si="49"/>
        <v>0</v>
      </c>
      <c r="C87" s="10">
        <f>IF(OR(B87&lt;=0,A87&gt;Financiamento_EV!$C$7),0,B87*Financiamento_EV!$C$9)</f>
        <v>0</v>
      </c>
      <c r="D87" s="10">
        <f t="shared" si="27"/>
        <v>0</v>
      </c>
      <c r="E87" s="10">
        <f>IF(D87&lt;=0,0,D87*Financiamento_EV!$C$6)</f>
        <v>0</v>
      </c>
      <c r="F87" s="10">
        <f>IF(D87&lt;=0,0,IF(Financiamento_EV!$C$6=0,D87/(Financiamento_EV!$C$7-A87+1),D87*Financiamento_EV!$C$6/(1-(1+Financiamento_EV!$C$6)^(-(Financiamento_EV!$C$7-A87+1)))))</f>
        <v>0</v>
      </c>
      <c r="G87" s="10">
        <f t="shared" si="28"/>
        <v>0</v>
      </c>
      <c r="H87" s="10">
        <f t="shared" si="29"/>
        <v>0</v>
      </c>
      <c r="I87" s="10">
        <f t="shared" si="30"/>
        <v>0</v>
      </c>
      <c r="K87">
        <f t="shared" si="50"/>
        <v>53</v>
      </c>
      <c r="L87" s="10">
        <f t="shared" si="51"/>
        <v>0</v>
      </c>
      <c r="M87" s="10">
        <f>IF(OR(L87&lt;=0,K87&gt;Financiamento_EV!$C$7),0,L87*Financiamento_EV!$C$9)</f>
        <v>0</v>
      </c>
      <c r="N87" s="10">
        <f t="shared" si="31"/>
        <v>0</v>
      </c>
      <c r="O87" s="10">
        <f>IF(N87&lt;=0,0,N87*Financiamento_EV!$C$6)</f>
        <v>0</v>
      </c>
      <c r="P87" s="10">
        <f>IF(N87&lt;=0,0,IF(Financiamento_EV!$C$6=0,N87/(Financiamento_EV!$C$7-K87+1),N87*Financiamento_EV!$C$6/(1-(1+Financiamento_EV!$C$6)^(-(Financiamento_EV!$C$7-K87+1)))))</f>
        <v>0</v>
      </c>
      <c r="Q87" s="10">
        <f t="shared" si="32"/>
        <v>0</v>
      </c>
      <c r="R87" s="10">
        <f>IF(N87&lt;=0,0,MIN(IF(ISNUMBER(INDEX(Financiamento_EV!$I$17:$I$136,K87)),MAX(0,INDEX(Financiamento_EV!$I$17:$I$136,K87)),IF(K87&gt;=Financiamento_EV!$C$11,Financiamento_EV!$C$10,0)),MAX(0,N87-Q87)))</f>
        <v>0</v>
      </c>
      <c r="S87" s="10">
        <f t="shared" si="33"/>
        <v>0</v>
      </c>
      <c r="T87" s="10">
        <f t="shared" si="34"/>
        <v>0</v>
      </c>
      <c r="V87">
        <f t="shared" si="52"/>
        <v>53</v>
      </c>
      <c r="W87" s="10">
        <f t="shared" si="53"/>
        <v>0</v>
      </c>
      <c r="X87" s="10">
        <f>IF(OR(W87&lt;=0,V87&gt;Financiamento_EV!$C$7),0,W87*Financiamento_EV!$C$9)</f>
        <v>0</v>
      </c>
      <c r="Y87" s="10">
        <f t="shared" si="35"/>
        <v>0</v>
      </c>
      <c r="Z87" s="10">
        <f>IF(Y87&lt;=0,0,Y87*Financiamento_EV!$C$6)</f>
        <v>0</v>
      </c>
      <c r="AA87" s="10">
        <f>IF(Y87&lt;=0,0,IF(Financiamento_EV!$C$6=0,Y87/(Financiamento_EV!$C$7-V87+1),Y87*Financiamento_EV!$C$6/(1-(1+Financiamento_EV!$C$6)^(-(Financiamento_EV!$C$7-V87+1)))))</f>
        <v>0</v>
      </c>
      <c r="AB87" s="10">
        <f t="shared" si="36"/>
        <v>0</v>
      </c>
      <c r="AC87" s="10">
        <f>IF(Y87&lt;=0,0,MIN(IF(ISNUMBER(INDEX(Financiamento_EV!$I$17:$I$136,V87)),MAX(0,INDEX(Financiamento_EV!$I$17:$I$136,V87)),IF(V87&gt;=Financiamento_EV!$C$11,Financiamento_EV!$C$10,0)),MAX(0,Y87-AB87)))</f>
        <v>0</v>
      </c>
      <c r="AD87" s="10">
        <f>IF(OR(Y87&lt;=0,V87&lt;Financiamento_EV!$C$11),0,MIN(MAX(0,Financiamento_EV!$F$5-AA87),MAX(0,Y87-AB87-AC87)))</f>
        <v>0</v>
      </c>
      <c r="AE87" s="10">
        <f t="shared" si="37"/>
        <v>0</v>
      </c>
      <c r="AF87" s="10">
        <f t="shared" si="38"/>
        <v>0</v>
      </c>
      <c r="AG87" s="10">
        <f t="shared" si="39"/>
        <v>0</v>
      </c>
      <c r="AI87">
        <f t="shared" si="40"/>
        <v>53</v>
      </c>
      <c r="AJ87">
        <f t="shared" si="41"/>
        <v>0</v>
      </c>
      <c r="AK87">
        <f t="shared" si="42"/>
        <v>0</v>
      </c>
      <c r="AL87">
        <f t="shared" si="43"/>
        <v>0</v>
      </c>
      <c r="AM87">
        <f t="shared" si="44"/>
        <v>53</v>
      </c>
      <c r="AN87">
        <f t="shared" si="45"/>
        <v>0</v>
      </c>
      <c r="AO87">
        <f t="shared" si="46"/>
        <v>0</v>
      </c>
      <c r="AP87">
        <f t="shared" si="47"/>
        <v>0</v>
      </c>
    </row>
    <row r="88" spans="1:42">
      <c r="A88">
        <f t="shared" si="48"/>
        <v>54</v>
      </c>
      <c r="B88" s="10">
        <f t="shared" si="49"/>
        <v>0</v>
      </c>
      <c r="C88" s="10">
        <f>IF(OR(B88&lt;=0,A88&gt;Financiamento_EV!$C$7),0,B88*Financiamento_EV!$C$9)</f>
        <v>0</v>
      </c>
      <c r="D88" s="10">
        <f t="shared" si="27"/>
        <v>0</v>
      </c>
      <c r="E88" s="10">
        <f>IF(D88&lt;=0,0,D88*Financiamento_EV!$C$6)</f>
        <v>0</v>
      </c>
      <c r="F88" s="10">
        <f>IF(D88&lt;=0,0,IF(Financiamento_EV!$C$6=0,D88/(Financiamento_EV!$C$7-A88+1),D88*Financiamento_EV!$C$6/(1-(1+Financiamento_EV!$C$6)^(-(Financiamento_EV!$C$7-A88+1)))))</f>
        <v>0</v>
      </c>
      <c r="G88" s="10">
        <f t="shared" si="28"/>
        <v>0</v>
      </c>
      <c r="H88" s="10">
        <f t="shared" si="29"/>
        <v>0</v>
      </c>
      <c r="I88" s="10">
        <f t="shared" si="30"/>
        <v>0</v>
      </c>
      <c r="K88">
        <f t="shared" si="50"/>
        <v>54</v>
      </c>
      <c r="L88" s="10">
        <f t="shared" si="51"/>
        <v>0</v>
      </c>
      <c r="M88" s="10">
        <f>IF(OR(L88&lt;=0,K88&gt;Financiamento_EV!$C$7),0,L88*Financiamento_EV!$C$9)</f>
        <v>0</v>
      </c>
      <c r="N88" s="10">
        <f t="shared" si="31"/>
        <v>0</v>
      </c>
      <c r="O88" s="10">
        <f>IF(N88&lt;=0,0,N88*Financiamento_EV!$C$6)</f>
        <v>0</v>
      </c>
      <c r="P88" s="10">
        <f>IF(N88&lt;=0,0,IF(Financiamento_EV!$C$6=0,N88/(Financiamento_EV!$C$7-K88+1),N88*Financiamento_EV!$C$6/(1-(1+Financiamento_EV!$C$6)^(-(Financiamento_EV!$C$7-K88+1)))))</f>
        <v>0</v>
      </c>
      <c r="Q88" s="10">
        <f t="shared" si="32"/>
        <v>0</v>
      </c>
      <c r="R88" s="10">
        <f>IF(N88&lt;=0,0,MIN(IF(ISNUMBER(INDEX(Financiamento_EV!$I$17:$I$136,K88)),MAX(0,INDEX(Financiamento_EV!$I$17:$I$136,K88)),IF(K88&gt;=Financiamento_EV!$C$11,Financiamento_EV!$C$10,0)),MAX(0,N88-Q88)))</f>
        <v>0</v>
      </c>
      <c r="S88" s="10">
        <f t="shared" si="33"/>
        <v>0</v>
      </c>
      <c r="T88" s="10">
        <f t="shared" si="34"/>
        <v>0</v>
      </c>
      <c r="V88">
        <f t="shared" si="52"/>
        <v>54</v>
      </c>
      <c r="W88" s="10">
        <f t="shared" si="53"/>
        <v>0</v>
      </c>
      <c r="X88" s="10">
        <f>IF(OR(W88&lt;=0,V88&gt;Financiamento_EV!$C$7),0,W88*Financiamento_EV!$C$9)</f>
        <v>0</v>
      </c>
      <c r="Y88" s="10">
        <f t="shared" si="35"/>
        <v>0</v>
      </c>
      <c r="Z88" s="10">
        <f>IF(Y88&lt;=0,0,Y88*Financiamento_EV!$C$6)</f>
        <v>0</v>
      </c>
      <c r="AA88" s="10">
        <f>IF(Y88&lt;=0,0,IF(Financiamento_EV!$C$6=0,Y88/(Financiamento_EV!$C$7-V88+1),Y88*Financiamento_EV!$C$6/(1-(1+Financiamento_EV!$C$6)^(-(Financiamento_EV!$C$7-V88+1)))))</f>
        <v>0</v>
      </c>
      <c r="AB88" s="10">
        <f t="shared" si="36"/>
        <v>0</v>
      </c>
      <c r="AC88" s="10">
        <f>IF(Y88&lt;=0,0,MIN(IF(ISNUMBER(INDEX(Financiamento_EV!$I$17:$I$136,V88)),MAX(0,INDEX(Financiamento_EV!$I$17:$I$136,V88)),IF(V88&gt;=Financiamento_EV!$C$11,Financiamento_EV!$C$10,0)),MAX(0,Y88-AB88)))</f>
        <v>0</v>
      </c>
      <c r="AD88" s="10">
        <f>IF(OR(Y88&lt;=0,V88&lt;Financiamento_EV!$C$11),0,MIN(MAX(0,Financiamento_EV!$F$5-AA88),MAX(0,Y88-AB88-AC88)))</f>
        <v>0</v>
      </c>
      <c r="AE88" s="10">
        <f t="shared" si="37"/>
        <v>0</v>
      </c>
      <c r="AF88" s="10">
        <f t="shared" si="38"/>
        <v>0</v>
      </c>
      <c r="AG88" s="10">
        <f t="shared" si="39"/>
        <v>0</v>
      </c>
      <c r="AI88">
        <f t="shared" si="40"/>
        <v>54</v>
      </c>
      <c r="AJ88">
        <f t="shared" si="41"/>
        <v>0</v>
      </c>
      <c r="AK88">
        <f t="shared" si="42"/>
        <v>0</v>
      </c>
      <c r="AL88">
        <f t="shared" si="43"/>
        <v>0</v>
      </c>
      <c r="AM88">
        <f t="shared" si="44"/>
        <v>54</v>
      </c>
      <c r="AN88">
        <f t="shared" si="45"/>
        <v>0</v>
      </c>
      <c r="AO88">
        <f t="shared" si="46"/>
        <v>0</v>
      </c>
      <c r="AP88">
        <f t="shared" si="47"/>
        <v>0</v>
      </c>
    </row>
    <row r="89" spans="1:42">
      <c r="A89">
        <f t="shared" si="48"/>
        <v>55</v>
      </c>
      <c r="B89" s="10">
        <f t="shared" si="49"/>
        <v>0</v>
      </c>
      <c r="C89" s="10">
        <f>IF(OR(B89&lt;=0,A89&gt;Financiamento_EV!$C$7),0,B89*Financiamento_EV!$C$9)</f>
        <v>0</v>
      </c>
      <c r="D89" s="10">
        <f t="shared" si="27"/>
        <v>0</v>
      </c>
      <c r="E89" s="10">
        <f>IF(D89&lt;=0,0,D89*Financiamento_EV!$C$6)</f>
        <v>0</v>
      </c>
      <c r="F89" s="10">
        <f>IF(D89&lt;=0,0,IF(Financiamento_EV!$C$6=0,D89/(Financiamento_EV!$C$7-A89+1),D89*Financiamento_EV!$C$6/(1-(1+Financiamento_EV!$C$6)^(-(Financiamento_EV!$C$7-A89+1)))))</f>
        <v>0</v>
      </c>
      <c r="G89" s="10">
        <f t="shared" si="28"/>
        <v>0</v>
      </c>
      <c r="H89" s="10">
        <f t="shared" si="29"/>
        <v>0</v>
      </c>
      <c r="I89" s="10">
        <f t="shared" si="30"/>
        <v>0</v>
      </c>
      <c r="K89">
        <f t="shared" si="50"/>
        <v>55</v>
      </c>
      <c r="L89" s="10">
        <f t="shared" si="51"/>
        <v>0</v>
      </c>
      <c r="M89" s="10">
        <f>IF(OR(L89&lt;=0,K89&gt;Financiamento_EV!$C$7),0,L89*Financiamento_EV!$C$9)</f>
        <v>0</v>
      </c>
      <c r="N89" s="10">
        <f t="shared" si="31"/>
        <v>0</v>
      </c>
      <c r="O89" s="10">
        <f>IF(N89&lt;=0,0,N89*Financiamento_EV!$C$6)</f>
        <v>0</v>
      </c>
      <c r="P89" s="10">
        <f>IF(N89&lt;=0,0,IF(Financiamento_EV!$C$6=0,N89/(Financiamento_EV!$C$7-K89+1),N89*Financiamento_EV!$C$6/(1-(1+Financiamento_EV!$C$6)^(-(Financiamento_EV!$C$7-K89+1)))))</f>
        <v>0</v>
      </c>
      <c r="Q89" s="10">
        <f t="shared" si="32"/>
        <v>0</v>
      </c>
      <c r="R89" s="10">
        <f>IF(N89&lt;=0,0,MIN(IF(ISNUMBER(INDEX(Financiamento_EV!$I$17:$I$136,K89)),MAX(0,INDEX(Financiamento_EV!$I$17:$I$136,K89)),IF(K89&gt;=Financiamento_EV!$C$11,Financiamento_EV!$C$10,0)),MAX(0,N89-Q89)))</f>
        <v>0</v>
      </c>
      <c r="S89" s="10">
        <f t="shared" si="33"/>
        <v>0</v>
      </c>
      <c r="T89" s="10">
        <f t="shared" si="34"/>
        <v>0</v>
      </c>
      <c r="V89">
        <f t="shared" si="52"/>
        <v>55</v>
      </c>
      <c r="W89" s="10">
        <f t="shared" si="53"/>
        <v>0</v>
      </c>
      <c r="X89" s="10">
        <f>IF(OR(W89&lt;=0,V89&gt;Financiamento_EV!$C$7),0,W89*Financiamento_EV!$C$9)</f>
        <v>0</v>
      </c>
      <c r="Y89" s="10">
        <f t="shared" si="35"/>
        <v>0</v>
      </c>
      <c r="Z89" s="10">
        <f>IF(Y89&lt;=0,0,Y89*Financiamento_EV!$C$6)</f>
        <v>0</v>
      </c>
      <c r="AA89" s="10">
        <f>IF(Y89&lt;=0,0,IF(Financiamento_EV!$C$6=0,Y89/(Financiamento_EV!$C$7-V89+1),Y89*Financiamento_EV!$C$6/(1-(1+Financiamento_EV!$C$6)^(-(Financiamento_EV!$C$7-V89+1)))))</f>
        <v>0</v>
      </c>
      <c r="AB89" s="10">
        <f t="shared" si="36"/>
        <v>0</v>
      </c>
      <c r="AC89" s="10">
        <f>IF(Y89&lt;=0,0,MIN(IF(ISNUMBER(INDEX(Financiamento_EV!$I$17:$I$136,V89)),MAX(0,INDEX(Financiamento_EV!$I$17:$I$136,V89)),IF(V89&gt;=Financiamento_EV!$C$11,Financiamento_EV!$C$10,0)),MAX(0,Y89-AB89)))</f>
        <v>0</v>
      </c>
      <c r="AD89" s="10">
        <f>IF(OR(Y89&lt;=0,V89&lt;Financiamento_EV!$C$11),0,MIN(MAX(0,Financiamento_EV!$F$5-AA89),MAX(0,Y89-AB89-AC89)))</f>
        <v>0</v>
      </c>
      <c r="AE89" s="10">
        <f t="shared" si="37"/>
        <v>0</v>
      </c>
      <c r="AF89" s="10">
        <f t="shared" si="38"/>
        <v>0</v>
      </c>
      <c r="AG89" s="10">
        <f t="shared" si="39"/>
        <v>0</v>
      </c>
      <c r="AI89">
        <f t="shared" si="40"/>
        <v>55</v>
      </c>
      <c r="AJ89">
        <f t="shared" si="41"/>
        <v>0</v>
      </c>
      <c r="AK89">
        <f t="shared" si="42"/>
        <v>0</v>
      </c>
      <c r="AL89">
        <f t="shared" si="43"/>
        <v>0</v>
      </c>
      <c r="AM89">
        <f t="shared" si="44"/>
        <v>55</v>
      </c>
      <c r="AN89">
        <f t="shared" si="45"/>
        <v>0</v>
      </c>
      <c r="AO89">
        <f t="shared" si="46"/>
        <v>0</v>
      </c>
      <c r="AP89">
        <f t="shared" si="47"/>
        <v>0</v>
      </c>
    </row>
    <row r="90" spans="1:42">
      <c r="A90">
        <f t="shared" si="48"/>
        <v>56</v>
      </c>
      <c r="B90" s="10">
        <f t="shared" si="49"/>
        <v>0</v>
      </c>
      <c r="C90" s="10">
        <f>IF(OR(B90&lt;=0,A90&gt;Financiamento_EV!$C$7),0,B90*Financiamento_EV!$C$9)</f>
        <v>0</v>
      </c>
      <c r="D90" s="10">
        <f t="shared" si="27"/>
        <v>0</v>
      </c>
      <c r="E90" s="10">
        <f>IF(D90&lt;=0,0,D90*Financiamento_EV!$C$6)</f>
        <v>0</v>
      </c>
      <c r="F90" s="10">
        <f>IF(D90&lt;=0,0,IF(Financiamento_EV!$C$6=0,D90/(Financiamento_EV!$C$7-A90+1),D90*Financiamento_EV!$C$6/(1-(1+Financiamento_EV!$C$6)^(-(Financiamento_EV!$C$7-A90+1)))))</f>
        <v>0</v>
      </c>
      <c r="G90" s="10">
        <f t="shared" si="28"/>
        <v>0</v>
      </c>
      <c r="H90" s="10">
        <f t="shared" si="29"/>
        <v>0</v>
      </c>
      <c r="I90" s="10">
        <f t="shared" si="30"/>
        <v>0</v>
      </c>
      <c r="K90">
        <f t="shared" si="50"/>
        <v>56</v>
      </c>
      <c r="L90" s="10">
        <f t="shared" si="51"/>
        <v>0</v>
      </c>
      <c r="M90" s="10">
        <f>IF(OR(L90&lt;=0,K90&gt;Financiamento_EV!$C$7),0,L90*Financiamento_EV!$C$9)</f>
        <v>0</v>
      </c>
      <c r="N90" s="10">
        <f t="shared" si="31"/>
        <v>0</v>
      </c>
      <c r="O90" s="10">
        <f>IF(N90&lt;=0,0,N90*Financiamento_EV!$C$6)</f>
        <v>0</v>
      </c>
      <c r="P90" s="10">
        <f>IF(N90&lt;=0,0,IF(Financiamento_EV!$C$6=0,N90/(Financiamento_EV!$C$7-K90+1),N90*Financiamento_EV!$C$6/(1-(1+Financiamento_EV!$C$6)^(-(Financiamento_EV!$C$7-K90+1)))))</f>
        <v>0</v>
      </c>
      <c r="Q90" s="10">
        <f t="shared" si="32"/>
        <v>0</v>
      </c>
      <c r="R90" s="10">
        <f>IF(N90&lt;=0,0,MIN(IF(ISNUMBER(INDEX(Financiamento_EV!$I$17:$I$136,K90)),MAX(0,INDEX(Financiamento_EV!$I$17:$I$136,K90)),IF(K90&gt;=Financiamento_EV!$C$11,Financiamento_EV!$C$10,0)),MAX(0,N90-Q90)))</f>
        <v>0</v>
      </c>
      <c r="S90" s="10">
        <f t="shared" si="33"/>
        <v>0</v>
      </c>
      <c r="T90" s="10">
        <f t="shared" si="34"/>
        <v>0</v>
      </c>
      <c r="V90">
        <f t="shared" si="52"/>
        <v>56</v>
      </c>
      <c r="W90" s="10">
        <f t="shared" si="53"/>
        <v>0</v>
      </c>
      <c r="X90" s="10">
        <f>IF(OR(W90&lt;=0,V90&gt;Financiamento_EV!$C$7),0,W90*Financiamento_EV!$C$9)</f>
        <v>0</v>
      </c>
      <c r="Y90" s="10">
        <f t="shared" si="35"/>
        <v>0</v>
      </c>
      <c r="Z90" s="10">
        <f>IF(Y90&lt;=0,0,Y90*Financiamento_EV!$C$6)</f>
        <v>0</v>
      </c>
      <c r="AA90" s="10">
        <f>IF(Y90&lt;=0,0,IF(Financiamento_EV!$C$6=0,Y90/(Financiamento_EV!$C$7-V90+1),Y90*Financiamento_EV!$C$6/(1-(1+Financiamento_EV!$C$6)^(-(Financiamento_EV!$C$7-V90+1)))))</f>
        <v>0</v>
      </c>
      <c r="AB90" s="10">
        <f t="shared" si="36"/>
        <v>0</v>
      </c>
      <c r="AC90" s="10">
        <f>IF(Y90&lt;=0,0,MIN(IF(ISNUMBER(INDEX(Financiamento_EV!$I$17:$I$136,V90)),MAX(0,INDEX(Financiamento_EV!$I$17:$I$136,V90)),IF(V90&gt;=Financiamento_EV!$C$11,Financiamento_EV!$C$10,0)),MAX(0,Y90-AB90)))</f>
        <v>0</v>
      </c>
      <c r="AD90" s="10">
        <f>IF(OR(Y90&lt;=0,V90&lt;Financiamento_EV!$C$11),0,MIN(MAX(0,Financiamento_EV!$F$5-AA90),MAX(0,Y90-AB90-AC90)))</f>
        <v>0</v>
      </c>
      <c r="AE90" s="10">
        <f t="shared" si="37"/>
        <v>0</v>
      </c>
      <c r="AF90" s="10">
        <f t="shared" si="38"/>
        <v>0</v>
      </c>
      <c r="AG90" s="10">
        <f t="shared" si="39"/>
        <v>0</v>
      </c>
      <c r="AI90">
        <f t="shared" si="40"/>
        <v>56</v>
      </c>
      <c r="AJ90">
        <f t="shared" si="41"/>
        <v>0</v>
      </c>
      <c r="AK90">
        <f t="shared" si="42"/>
        <v>0</v>
      </c>
      <c r="AL90">
        <f t="shared" si="43"/>
        <v>0</v>
      </c>
      <c r="AM90">
        <f t="shared" si="44"/>
        <v>56</v>
      </c>
      <c r="AN90">
        <f t="shared" si="45"/>
        <v>0</v>
      </c>
      <c r="AO90">
        <f t="shared" si="46"/>
        <v>0</v>
      </c>
      <c r="AP90">
        <f t="shared" si="47"/>
        <v>0</v>
      </c>
    </row>
    <row r="91" spans="1:42">
      <c r="A91">
        <f t="shared" si="48"/>
        <v>57</v>
      </c>
      <c r="B91" s="10">
        <f t="shared" si="49"/>
        <v>0</v>
      </c>
      <c r="C91" s="10">
        <f>IF(OR(B91&lt;=0,A91&gt;Financiamento_EV!$C$7),0,B91*Financiamento_EV!$C$9)</f>
        <v>0</v>
      </c>
      <c r="D91" s="10">
        <f t="shared" si="27"/>
        <v>0</v>
      </c>
      <c r="E91" s="10">
        <f>IF(D91&lt;=0,0,D91*Financiamento_EV!$C$6)</f>
        <v>0</v>
      </c>
      <c r="F91" s="10">
        <f>IF(D91&lt;=0,0,IF(Financiamento_EV!$C$6=0,D91/(Financiamento_EV!$C$7-A91+1),D91*Financiamento_EV!$C$6/(1-(1+Financiamento_EV!$C$6)^(-(Financiamento_EV!$C$7-A91+1)))))</f>
        <v>0</v>
      </c>
      <c r="G91" s="10">
        <f t="shared" si="28"/>
        <v>0</v>
      </c>
      <c r="H91" s="10">
        <f t="shared" si="29"/>
        <v>0</v>
      </c>
      <c r="I91" s="10">
        <f t="shared" si="30"/>
        <v>0</v>
      </c>
      <c r="K91">
        <f t="shared" si="50"/>
        <v>57</v>
      </c>
      <c r="L91" s="10">
        <f t="shared" si="51"/>
        <v>0</v>
      </c>
      <c r="M91" s="10">
        <f>IF(OR(L91&lt;=0,K91&gt;Financiamento_EV!$C$7),0,L91*Financiamento_EV!$C$9)</f>
        <v>0</v>
      </c>
      <c r="N91" s="10">
        <f t="shared" si="31"/>
        <v>0</v>
      </c>
      <c r="O91" s="10">
        <f>IF(N91&lt;=0,0,N91*Financiamento_EV!$C$6)</f>
        <v>0</v>
      </c>
      <c r="P91" s="10">
        <f>IF(N91&lt;=0,0,IF(Financiamento_EV!$C$6=0,N91/(Financiamento_EV!$C$7-K91+1),N91*Financiamento_EV!$C$6/(1-(1+Financiamento_EV!$C$6)^(-(Financiamento_EV!$C$7-K91+1)))))</f>
        <v>0</v>
      </c>
      <c r="Q91" s="10">
        <f t="shared" si="32"/>
        <v>0</v>
      </c>
      <c r="R91" s="10">
        <f>IF(N91&lt;=0,0,MIN(IF(ISNUMBER(INDEX(Financiamento_EV!$I$17:$I$136,K91)),MAX(0,INDEX(Financiamento_EV!$I$17:$I$136,K91)),IF(K91&gt;=Financiamento_EV!$C$11,Financiamento_EV!$C$10,0)),MAX(0,N91-Q91)))</f>
        <v>0</v>
      </c>
      <c r="S91" s="10">
        <f t="shared" si="33"/>
        <v>0</v>
      </c>
      <c r="T91" s="10">
        <f t="shared" si="34"/>
        <v>0</v>
      </c>
      <c r="V91">
        <f t="shared" si="52"/>
        <v>57</v>
      </c>
      <c r="W91" s="10">
        <f t="shared" si="53"/>
        <v>0</v>
      </c>
      <c r="X91" s="10">
        <f>IF(OR(W91&lt;=0,V91&gt;Financiamento_EV!$C$7),0,W91*Financiamento_EV!$C$9)</f>
        <v>0</v>
      </c>
      <c r="Y91" s="10">
        <f t="shared" si="35"/>
        <v>0</v>
      </c>
      <c r="Z91" s="10">
        <f>IF(Y91&lt;=0,0,Y91*Financiamento_EV!$C$6)</f>
        <v>0</v>
      </c>
      <c r="AA91" s="10">
        <f>IF(Y91&lt;=0,0,IF(Financiamento_EV!$C$6=0,Y91/(Financiamento_EV!$C$7-V91+1),Y91*Financiamento_EV!$C$6/(1-(1+Financiamento_EV!$C$6)^(-(Financiamento_EV!$C$7-V91+1)))))</f>
        <v>0</v>
      </c>
      <c r="AB91" s="10">
        <f t="shared" si="36"/>
        <v>0</v>
      </c>
      <c r="AC91" s="10">
        <f>IF(Y91&lt;=0,0,MIN(IF(ISNUMBER(INDEX(Financiamento_EV!$I$17:$I$136,V91)),MAX(0,INDEX(Financiamento_EV!$I$17:$I$136,V91)),IF(V91&gt;=Financiamento_EV!$C$11,Financiamento_EV!$C$10,0)),MAX(0,Y91-AB91)))</f>
        <v>0</v>
      </c>
      <c r="AD91" s="10">
        <f>IF(OR(Y91&lt;=0,V91&lt;Financiamento_EV!$C$11),0,MIN(MAX(0,Financiamento_EV!$F$5-AA91),MAX(0,Y91-AB91-AC91)))</f>
        <v>0</v>
      </c>
      <c r="AE91" s="10">
        <f t="shared" si="37"/>
        <v>0</v>
      </c>
      <c r="AF91" s="10">
        <f t="shared" si="38"/>
        <v>0</v>
      </c>
      <c r="AG91" s="10">
        <f t="shared" si="39"/>
        <v>0</v>
      </c>
      <c r="AI91">
        <f t="shared" si="40"/>
        <v>57</v>
      </c>
      <c r="AJ91">
        <f t="shared" si="41"/>
        <v>0</v>
      </c>
      <c r="AK91">
        <f t="shared" si="42"/>
        <v>0</v>
      </c>
      <c r="AL91">
        <f t="shared" si="43"/>
        <v>0</v>
      </c>
      <c r="AM91">
        <f t="shared" si="44"/>
        <v>57</v>
      </c>
      <c r="AN91">
        <f t="shared" si="45"/>
        <v>0</v>
      </c>
      <c r="AO91">
        <f t="shared" si="46"/>
        <v>0</v>
      </c>
      <c r="AP91">
        <f t="shared" si="47"/>
        <v>0</v>
      </c>
    </row>
    <row r="92" spans="1:42">
      <c r="A92">
        <f t="shared" si="48"/>
        <v>58</v>
      </c>
      <c r="B92" s="10">
        <f t="shared" si="49"/>
        <v>0</v>
      </c>
      <c r="C92" s="10">
        <f>IF(OR(B92&lt;=0,A92&gt;Financiamento_EV!$C$7),0,B92*Financiamento_EV!$C$9)</f>
        <v>0</v>
      </c>
      <c r="D92" s="10">
        <f t="shared" si="27"/>
        <v>0</v>
      </c>
      <c r="E92" s="10">
        <f>IF(D92&lt;=0,0,D92*Financiamento_EV!$C$6)</f>
        <v>0</v>
      </c>
      <c r="F92" s="10">
        <f>IF(D92&lt;=0,0,IF(Financiamento_EV!$C$6=0,D92/(Financiamento_EV!$C$7-A92+1),D92*Financiamento_EV!$C$6/(1-(1+Financiamento_EV!$C$6)^(-(Financiamento_EV!$C$7-A92+1)))))</f>
        <v>0</v>
      </c>
      <c r="G92" s="10">
        <f t="shared" si="28"/>
        <v>0</v>
      </c>
      <c r="H92" s="10">
        <f t="shared" si="29"/>
        <v>0</v>
      </c>
      <c r="I92" s="10">
        <f t="shared" si="30"/>
        <v>0</v>
      </c>
      <c r="K92">
        <f t="shared" si="50"/>
        <v>58</v>
      </c>
      <c r="L92" s="10">
        <f t="shared" si="51"/>
        <v>0</v>
      </c>
      <c r="M92" s="10">
        <f>IF(OR(L92&lt;=0,K92&gt;Financiamento_EV!$C$7),0,L92*Financiamento_EV!$C$9)</f>
        <v>0</v>
      </c>
      <c r="N92" s="10">
        <f t="shared" si="31"/>
        <v>0</v>
      </c>
      <c r="O92" s="10">
        <f>IF(N92&lt;=0,0,N92*Financiamento_EV!$C$6)</f>
        <v>0</v>
      </c>
      <c r="P92" s="10">
        <f>IF(N92&lt;=0,0,IF(Financiamento_EV!$C$6=0,N92/(Financiamento_EV!$C$7-K92+1),N92*Financiamento_EV!$C$6/(1-(1+Financiamento_EV!$C$6)^(-(Financiamento_EV!$C$7-K92+1)))))</f>
        <v>0</v>
      </c>
      <c r="Q92" s="10">
        <f t="shared" si="32"/>
        <v>0</v>
      </c>
      <c r="R92" s="10">
        <f>IF(N92&lt;=0,0,MIN(IF(ISNUMBER(INDEX(Financiamento_EV!$I$17:$I$136,K92)),MAX(0,INDEX(Financiamento_EV!$I$17:$I$136,K92)),IF(K92&gt;=Financiamento_EV!$C$11,Financiamento_EV!$C$10,0)),MAX(0,N92-Q92)))</f>
        <v>0</v>
      </c>
      <c r="S92" s="10">
        <f t="shared" si="33"/>
        <v>0</v>
      </c>
      <c r="T92" s="10">
        <f t="shared" si="34"/>
        <v>0</v>
      </c>
      <c r="V92">
        <f t="shared" si="52"/>
        <v>58</v>
      </c>
      <c r="W92" s="10">
        <f t="shared" si="53"/>
        <v>0</v>
      </c>
      <c r="X92" s="10">
        <f>IF(OR(W92&lt;=0,V92&gt;Financiamento_EV!$C$7),0,W92*Financiamento_EV!$C$9)</f>
        <v>0</v>
      </c>
      <c r="Y92" s="10">
        <f t="shared" si="35"/>
        <v>0</v>
      </c>
      <c r="Z92" s="10">
        <f>IF(Y92&lt;=0,0,Y92*Financiamento_EV!$C$6)</f>
        <v>0</v>
      </c>
      <c r="AA92" s="10">
        <f>IF(Y92&lt;=0,0,IF(Financiamento_EV!$C$6=0,Y92/(Financiamento_EV!$C$7-V92+1),Y92*Financiamento_EV!$C$6/(1-(1+Financiamento_EV!$C$6)^(-(Financiamento_EV!$C$7-V92+1)))))</f>
        <v>0</v>
      </c>
      <c r="AB92" s="10">
        <f t="shared" si="36"/>
        <v>0</v>
      </c>
      <c r="AC92" s="10">
        <f>IF(Y92&lt;=0,0,MIN(IF(ISNUMBER(INDEX(Financiamento_EV!$I$17:$I$136,V92)),MAX(0,INDEX(Financiamento_EV!$I$17:$I$136,V92)),IF(V92&gt;=Financiamento_EV!$C$11,Financiamento_EV!$C$10,0)),MAX(0,Y92-AB92)))</f>
        <v>0</v>
      </c>
      <c r="AD92" s="10">
        <f>IF(OR(Y92&lt;=0,V92&lt;Financiamento_EV!$C$11),0,MIN(MAX(0,Financiamento_EV!$F$5-AA92),MAX(0,Y92-AB92-AC92)))</f>
        <v>0</v>
      </c>
      <c r="AE92" s="10">
        <f t="shared" si="37"/>
        <v>0</v>
      </c>
      <c r="AF92" s="10">
        <f t="shared" si="38"/>
        <v>0</v>
      </c>
      <c r="AG92" s="10">
        <f t="shared" si="39"/>
        <v>0</v>
      </c>
      <c r="AI92">
        <f t="shared" si="40"/>
        <v>58</v>
      </c>
      <c r="AJ92">
        <f t="shared" si="41"/>
        <v>0</v>
      </c>
      <c r="AK92">
        <f t="shared" si="42"/>
        <v>0</v>
      </c>
      <c r="AL92">
        <f t="shared" si="43"/>
        <v>0</v>
      </c>
      <c r="AM92">
        <f t="shared" si="44"/>
        <v>58</v>
      </c>
      <c r="AN92">
        <f t="shared" si="45"/>
        <v>0</v>
      </c>
      <c r="AO92">
        <f t="shared" si="46"/>
        <v>0</v>
      </c>
      <c r="AP92">
        <f t="shared" si="47"/>
        <v>0</v>
      </c>
    </row>
    <row r="93" spans="1:42">
      <c r="A93">
        <f t="shared" si="48"/>
        <v>59</v>
      </c>
      <c r="B93" s="10">
        <f t="shared" si="49"/>
        <v>0</v>
      </c>
      <c r="C93" s="10">
        <f>IF(OR(B93&lt;=0,A93&gt;Financiamento_EV!$C$7),0,B93*Financiamento_EV!$C$9)</f>
        <v>0</v>
      </c>
      <c r="D93" s="10">
        <f t="shared" si="27"/>
        <v>0</v>
      </c>
      <c r="E93" s="10">
        <f>IF(D93&lt;=0,0,D93*Financiamento_EV!$C$6)</f>
        <v>0</v>
      </c>
      <c r="F93" s="10">
        <f>IF(D93&lt;=0,0,IF(Financiamento_EV!$C$6=0,D93/(Financiamento_EV!$C$7-A93+1),D93*Financiamento_EV!$C$6/(1-(1+Financiamento_EV!$C$6)^(-(Financiamento_EV!$C$7-A93+1)))))</f>
        <v>0</v>
      </c>
      <c r="G93" s="10">
        <f t="shared" si="28"/>
        <v>0</v>
      </c>
      <c r="H93" s="10">
        <f t="shared" si="29"/>
        <v>0</v>
      </c>
      <c r="I93" s="10">
        <f t="shared" si="30"/>
        <v>0</v>
      </c>
      <c r="K93">
        <f t="shared" si="50"/>
        <v>59</v>
      </c>
      <c r="L93" s="10">
        <f t="shared" si="51"/>
        <v>0</v>
      </c>
      <c r="M93" s="10">
        <f>IF(OR(L93&lt;=0,K93&gt;Financiamento_EV!$C$7),0,L93*Financiamento_EV!$C$9)</f>
        <v>0</v>
      </c>
      <c r="N93" s="10">
        <f t="shared" si="31"/>
        <v>0</v>
      </c>
      <c r="O93" s="10">
        <f>IF(N93&lt;=0,0,N93*Financiamento_EV!$C$6)</f>
        <v>0</v>
      </c>
      <c r="P93" s="10">
        <f>IF(N93&lt;=0,0,IF(Financiamento_EV!$C$6=0,N93/(Financiamento_EV!$C$7-K93+1),N93*Financiamento_EV!$C$6/(1-(1+Financiamento_EV!$C$6)^(-(Financiamento_EV!$C$7-K93+1)))))</f>
        <v>0</v>
      </c>
      <c r="Q93" s="10">
        <f t="shared" si="32"/>
        <v>0</v>
      </c>
      <c r="R93" s="10">
        <f>IF(N93&lt;=0,0,MIN(IF(ISNUMBER(INDEX(Financiamento_EV!$I$17:$I$136,K93)),MAX(0,INDEX(Financiamento_EV!$I$17:$I$136,K93)),IF(K93&gt;=Financiamento_EV!$C$11,Financiamento_EV!$C$10,0)),MAX(0,N93-Q93)))</f>
        <v>0</v>
      </c>
      <c r="S93" s="10">
        <f t="shared" si="33"/>
        <v>0</v>
      </c>
      <c r="T93" s="10">
        <f t="shared" si="34"/>
        <v>0</v>
      </c>
      <c r="V93">
        <f t="shared" si="52"/>
        <v>59</v>
      </c>
      <c r="W93" s="10">
        <f t="shared" si="53"/>
        <v>0</v>
      </c>
      <c r="X93" s="10">
        <f>IF(OR(W93&lt;=0,V93&gt;Financiamento_EV!$C$7),0,W93*Financiamento_EV!$C$9)</f>
        <v>0</v>
      </c>
      <c r="Y93" s="10">
        <f t="shared" si="35"/>
        <v>0</v>
      </c>
      <c r="Z93" s="10">
        <f>IF(Y93&lt;=0,0,Y93*Financiamento_EV!$C$6)</f>
        <v>0</v>
      </c>
      <c r="AA93" s="10">
        <f>IF(Y93&lt;=0,0,IF(Financiamento_EV!$C$6=0,Y93/(Financiamento_EV!$C$7-V93+1),Y93*Financiamento_EV!$C$6/(1-(1+Financiamento_EV!$C$6)^(-(Financiamento_EV!$C$7-V93+1)))))</f>
        <v>0</v>
      </c>
      <c r="AB93" s="10">
        <f t="shared" si="36"/>
        <v>0</v>
      </c>
      <c r="AC93" s="10">
        <f>IF(Y93&lt;=0,0,MIN(IF(ISNUMBER(INDEX(Financiamento_EV!$I$17:$I$136,V93)),MAX(0,INDEX(Financiamento_EV!$I$17:$I$136,V93)),IF(V93&gt;=Financiamento_EV!$C$11,Financiamento_EV!$C$10,0)),MAX(0,Y93-AB93)))</f>
        <v>0</v>
      </c>
      <c r="AD93" s="10">
        <f>IF(OR(Y93&lt;=0,V93&lt;Financiamento_EV!$C$11),0,MIN(MAX(0,Financiamento_EV!$F$5-AA93),MAX(0,Y93-AB93-AC93)))</f>
        <v>0</v>
      </c>
      <c r="AE93" s="10">
        <f t="shared" si="37"/>
        <v>0</v>
      </c>
      <c r="AF93" s="10">
        <f t="shared" si="38"/>
        <v>0</v>
      </c>
      <c r="AG93" s="10">
        <f t="shared" si="39"/>
        <v>0</v>
      </c>
      <c r="AI93">
        <f t="shared" si="40"/>
        <v>59</v>
      </c>
      <c r="AJ93">
        <f t="shared" si="41"/>
        <v>0</v>
      </c>
      <c r="AK93">
        <f t="shared" si="42"/>
        <v>0</v>
      </c>
      <c r="AL93">
        <f t="shared" si="43"/>
        <v>0</v>
      </c>
      <c r="AM93">
        <f t="shared" si="44"/>
        <v>59</v>
      </c>
      <c r="AN93">
        <f t="shared" si="45"/>
        <v>0</v>
      </c>
      <c r="AO93">
        <f t="shared" si="46"/>
        <v>0</v>
      </c>
      <c r="AP93">
        <f t="shared" si="47"/>
        <v>0</v>
      </c>
    </row>
    <row r="94" spans="1:42">
      <c r="A94">
        <f t="shared" si="48"/>
        <v>60</v>
      </c>
      <c r="B94" s="10">
        <f t="shared" si="49"/>
        <v>0</v>
      </c>
      <c r="C94" s="10">
        <f>IF(OR(B94&lt;=0,A94&gt;Financiamento_EV!$C$7),0,B94*Financiamento_EV!$C$9)</f>
        <v>0</v>
      </c>
      <c r="D94" s="10">
        <f t="shared" si="27"/>
        <v>0</v>
      </c>
      <c r="E94" s="10">
        <f>IF(D94&lt;=0,0,D94*Financiamento_EV!$C$6)</f>
        <v>0</v>
      </c>
      <c r="F94" s="10">
        <f>IF(D94&lt;=0,0,IF(Financiamento_EV!$C$6=0,D94/(Financiamento_EV!$C$7-A94+1),D94*Financiamento_EV!$C$6/(1-(1+Financiamento_EV!$C$6)^(-(Financiamento_EV!$C$7-A94+1)))))</f>
        <v>0</v>
      </c>
      <c r="G94" s="10">
        <f t="shared" si="28"/>
        <v>0</v>
      </c>
      <c r="H94" s="10">
        <f t="shared" si="29"/>
        <v>0</v>
      </c>
      <c r="I94" s="10">
        <f t="shared" si="30"/>
        <v>0</v>
      </c>
      <c r="K94">
        <f t="shared" si="50"/>
        <v>60</v>
      </c>
      <c r="L94" s="10">
        <f t="shared" si="51"/>
        <v>0</v>
      </c>
      <c r="M94" s="10">
        <f>IF(OR(L94&lt;=0,K94&gt;Financiamento_EV!$C$7),0,L94*Financiamento_EV!$C$9)</f>
        <v>0</v>
      </c>
      <c r="N94" s="10">
        <f t="shared" si="31"/>
        <v>0</v>
      </c>
      <c r="O94" s="10">
        <f>IF(N94&lt;=0,0,N94*Financiamento_EV!$C$6)</f>
        <v>0</v>
      </c>
      <c r="P94" s="10">
        <f>IF(N94&lt;=0,0,IF(Financiamento_EV!$C$6=0,N94/(Financiamento_EV!$C$7-K94+1),N94*Financiamento_EV!$C$6/(1-(1+Financiamento_EV!$C$6)^(-(Financiamento_EV!$C$7-K94+1)))))</f>
        <v>0</v>
      </c>
      <c r="Q94" s="10">
        <f t="shared" si="32"/>
        <v>0</v>
      </c>
      <c r="R94" s="10">
        <f>IF(N94&lt;=0,0,MIN(IF(ISNUMBER(INDEX(Financiamento_EV!$I$17:$I$136,K94)),MAX(0,INDEX(Financiamento_EV!$I$17:$I$136,K94)),IF(K94&gt;=Financiamento_EV!$C$11,Financiamento_EV!$C$10,0)),MAX(0,N94-Q94)))</f>
        <v>0</v>
      </c>
      <c r="S94" s="10">
        <f t="shared" si="33"/>
        <v>0</v>
      </c>
      <c r="T94" s="10">
        <f t="shared" si="34"/>
        <v>0</v>
      </c>
      <c r="V94">
        <f t="shared" si="52"/>
        <v>60</v>
      </c>
      <c r="W94" s="10">
        <f t="shared" si="53"/>
        <v>0</v>
      </c>
      <c r="X94" s="10">
        <f>IF(OR(W94&lt;=0,V94&gt;Financiamento_EV!$C$7),0,W94*Financiamento_EV!$C$9)</f>
        <v>0</v>
      </c>
      <c r="Y94" s="10">
        <f t="shared" si="35"/>
        <v>0</v>
      </c>
      <c r="Z94" s="10">
        <f>IF(Y94&lt;=0,0,Y94*Financiamento_EV!$C$6)</f>
        <v>0</v>
      </c>
      <c r="AA94" s="10">
        <f>IF(Y94&lt;=0,0,IF(Financiamento_EV!$C$6=0,Y94/(Financiamento_EV!$C$7-V94+1),Y94*Financiamento_EV!$C$6/(1-(1+Financiamento_EV!$C$6)^(-(Financiamento_EV!$C$7-V94+1)))))</f>
        <v>0</v>
      </c>
      <c r="AB94" s="10">
        <f t="shared" si="36"/>
        <v>0</v>
      </c>
      <c r="AC94" s="10">
        <f>IF(Y94&lt;=0,0,MIN(IF(ISNUMBER(INDEX(Financiamento_EV!$I$17:$I$136,V94)),MAX(0,INDEX(Financiamento_EV!$I$17:$I$136,V94)),IF(V94&gt;=Financiamento_EV!$C$11,Financiamento_EV!$C$10,0)),MAX(0,Y94-AB94)))</f>
        <v>0</v>
      </c>
      <c r="AD94" s="10">
        <f>IF(OR(Y94&lt;=0,V94&lt;Financiamento_EV!$C$11),0,MIN(MAX(0,Financiamento_EV!$F$5-AA94),MAX(0,Y94-AB94-AC94)))</f>
        <v>0</v>
      </c>
      <c r="AE94" s="10">
        <f t="shared" si="37"/>
        <v>0</v>
      </c>
      <c r="AF94" s="10">
        <f t="shared" si="38"/>
        <v>0</v>
      </c>
      <c r="AG94" s="10">
        <f t="shared" si="39"/>
        <v>0</v>
      </c>
      <c r="AI94">
        <f t="shared" si="40"/>
        <v>60</v>
      </c>
      <c r="AJ94">
        <f t="shared" si="41"/>
        <v>0</v>
      </c>
      <c r="AK94">
        <f t="shared" si="42"/>
        <v>0</v>
      </c>
      <c r="AL94">
        <f t="shared" si="43"/>
        <v>0</v>
      </c>
      <c r="AM94">
        <f t="shared" si="44"/>
        <v>60</v>
      </c>
      <c r="AN94">
        <f t="shared" si="45"/>
        <v>0</v>
      </c>
      <c r="AO94">
        <f t="shared" si="46"/>
        <v>0</v>
      </c>
      <c r="AP94">
        <f t="shared" si="47"/>
        <v>0</v>
      </c>
    </row>
    <row r="95" spans="1:42">
      <c r="A95">
        <f t="shared" si="48"/>
        <v>61</v>
      </c>
      <c r="B95" s="10">
        <f t="shared" si="49"/>
        <v>0</v>
      </c>
      <c r="C95" s="10">
        <f>IF(OR(B95&lt;=0,A95&gt;Financiamento_EV!$C$7),0,B95*Financiamento_EV!$C$9)</f>
        <v>0</v>
      </c>
      <c r="D95" s="10">
        <f t="shared" si="27"/>
        <v>0</v>
      </c>
      <c r="E95" s="10">
        <f>IF(D95&lt;=0,0,D95*Financiamento_EV!$C$6)</f>
        <v>0</v>
      </c>
      <c r="F95" s="10">
        <f>IF(D95&lt;=0,0,IF(Financiamento_EV!$C$6=0,D95/(Financiamento_EV!$C$7-A95+1),D95*Financiamento_EV!$C$6/(1-(1+Financiamento_EV!$C$6)^(-(Financiamento_EV!$C$7-A95+1)))))</f>
        <v>0</v>
      </c>
      <c r="G95" s="10">
        <f t="shared" si="28"/>
        <v>0</v>
      </c>
      <c r="H95" s="10">
        <f t="shared" si="29"/>
        <v>0</v>
      </c>
      <c r="I95" s="10">
        <f t="shared" si="30"/>
        <v>0</v>
      </c>
      <c r="K95">
        <f t="shared" si="50"/>
        <v>61</v>
      </c>
      <c r="L95" s="10">
        <f t="shared" si="51"/>
        <v>0</v>
      </c>
      <c r="M95" s="10">
        <f>IF(OR(L95&lt;=0,K95&gt;Financiamento_EV!$C$7),0,L95*Financiamento_EV!$C$9)</f>
        <v>0</v>
      </c>
      <c r="N95" s="10">
        <f t="shared" si="31"/>
        <v>0</v>
      </c>
      <c r="O95" s="10">
        <f>IF(N95&lt;=0,0,N95*Financiamento_EV!$C$6)</f>
        <v>0</v>
      </c>
      <c r="P95" s="10">
        <f>IF(N95&lt;=0,0,IF(Financiamento_EV!$C$6=0,N95/(Financiamento_EV!$C$7-K95+1),N95*Financiamento_EV!$C$6/(1-(1+Financiamento_EV!$C$6)^(-(Financiamento_EV!$C$7-K95+1)))))</f>
        <v>0</v>
      </c>
      <c r="Q95" s="10">
        <f t="shared" si="32"/>
        <v>0</v>
      </c>
      <c r="R95" s="10">
        <f>IF(N95&lt;=0,0,MIN(IF(ISNUMBER(INDEX(Financiamento_EV!$I$17:$I$136,K95)),MAX(0,INDEX(Financiamento_EV!$I$17:$I$136,K95)),IF(K95&gt;=Financiamento_EV!$C$11,Financiamento_EV!$C$10,0)),MAX(0,N95-Q95)))</f>
        <v>0</v>
      </c>
      <c r="S95" s="10">
        <f t="shared" si="33"/>
        <v>0</v>
      </c>
      <c r="T95" s="10">
        <f t="shared" si="34"/>
        <v>0</v>
      </c>
      <c r="V95">
        <f t="shared" si="52"/>
        <v>61</v>
      </c>
      <c r="W95" s="10">
        <f t="shared" si="53"/>
        <v>0</v>
      </c>
      <c r="X95" s="10">
        <f>IF(OR(W95&lt;=0,V95&gt;Financiamento_EV!$C$7),0,W95*Financiamento_EV!$C$9)</f>
        <v>0</v>
      </c>
      <c r="Y95" s="10">
        <f t="shared" si="35"/>
        <v>0</v>
      </c>
      <c r="Z95" s="10">
        <f>IF(Y95&lt;=0,0,Y95*Financiamento_EV!$C$6)</f>
        <v>0</v>
      </c>
      <c r="AA95" s="10">
        <f>IF(Y95&lt;=0,0,IF(Financiamento_EV!$C$6=0,Y95/(Financiamento_EV!$C$7-V95+1),Y95*Financiamento_EV!$C$6/(1-(1+Financiamento_EV!$C$6)^(-(Financiamento_EV!$C$7-V95+1)))))</f>
        <v>0</v>
      </c>
      <c r="AB95" s="10">
        <f t="shared" si="36"/>
        <v>0</v>
      </c>
      <c r="AC95" s="10">
        <f>IF(Y95&lt;=0,0,MIN(IF(ISNUMBER(INDEX(Financiamento_EV!$I$17:$I$136,V95)),MAX(0,INDEX(Financiamento_EV!$I$17:$I$136,V95)),IF(V95&gt;=Financiamento_EV!$C$11,Financiamento_EV!$C$10,0)),MAX(0,Y95-AB95)))</f>
        <v>0</v>
      </c>
      <c r="AD95" s="10">
        <f>IF(OR(Y95&lt;=0,V95&lt;Financiamento_EV!$C$11),0,MIN(MAX(0,Financiamento_EV!$F$5-AA95),MAX(0,Y95-AB95-AC95)))</f>
        <v>0</v>
      </c>
      <c r="AE95" s="10">
        <f t="shared" si="37"/>
        <v>0</v>
      </c>
      <c r="AF95" s="10">
        <f t="shared" si="38"/>
        <v>0</v>
      </c>
      <c r="AG95" s="10">
        <f t="shared" si="39"/>
        <v>0</v>
      </c>
    </row>
    <row r="96" spans="1:42">
      <c r="A96">
        <f t="shared" si="48"/>
        <v>62</v>
      </c>
      <c r="B96" s="10">
        <f t="shared" si="49"/>
        <v>0</v>
      </c>
      <c r="C96" s="10">
        <f>IF(OR(B96&lt;=0,A96&gt;Financiamento_EV!$C$7),0,B96*Financiamento_EV!$C$9)</f>
        <v>0</v>
      </c>
      <c r="D96" s="10">
        <f t="shared" si="27"/>
        <v>0</v>
      </c>
      <c r="E96" s="10">
        <f>IF(D96&lt;=0,0,D96*Financiamento_EV!$C$6)</f>
        <v>0</v>
      </c>
      <c r="F96" s="10">
        <f>IF(D96&lt;=0,0,IF(Financiamento_EV!$C$6=0,D96/(Financiamento_EV!$C$7-A96+1),D96*Financiamento_EV!$C$6/(1-(1+Financiamento_EV!$C$6)^(-(Financiamento_EV!$C$7-A96+1)))))</f>
        <v>0</v>
      </c>
      <c r="G96" s="10">
        <f t="shared" si="28"/>
        <v>0</v>
      </c>
      <c r="H96" s="10">
        <f t="shared" si="29"/>
        <v>0</v>
      </c>
      <c r="I96" s="10">
        <f t="shared" si="30"/>
        <v>0</v>
      </c>
      <c r="K96">
        <f t="shared" si="50"/>
        <v>62</v>
      </c>
      <c r="L96" s="10">
        <f t="shared" si="51"/>
        <v>0</v>
      </c>
      <c r="M96" s="10">
        <f>IF(OR(L96&lt;=0,K96&gt;Financiamento_EV!$C$7),0,L96*Financiamento_EV!$C$9)</f>
        <v>0</v>
      </c>
      <c r="N96" s="10">
        <f t="shared" si="31"/>
        <v>0</v>
      </c>
      <c r="O96" s="10">
        <f>IF(N96&lt;=0,0,N96*Financiamento_EV!$C$6)</f>
        <v>0</v>
      </c>
      <c r="P96" s="10">
        <f>IF(N96&lt;=0,0,IF(Financiamento_EV!$C$6=0,N96/(Financiamento_EV!$C$7-K96+1),N96*Financiamento_EV!$C$6/(1-(1+Financiamento_EV!$C$6)^(-(Financiamento_EV!$C$7-K96+1)))))</f>
        <v>0</v>
      </c>
      <c r="Q96" s="10">
        <f t="shared" si="32"/>
        <v>0</v>
      </c>
      <c r="R96" s="10">
        <f>IF(N96&lt;=0,0,MIN(IF(ISNUMBER(INDEX(Financiamento_EV!$I$17:$I$136,K96)),MAX(0,INDEX(Financiamento_EV!$I$17:$I$136,K96)),IF(K96&gt;=Financiamento_EV!$C$11,Financiamento_EV!$C$10,0)),MAX(0,N96-Q96)))</f>
        <v>0</v>
      </c>
      <c r="S96" s="10">
        <f t="shared" si="33"/>
        <v>0</v>
      </c>
      <c r="T96" s="10">
        <f t="shared" si="34"/>
        <v>0</v>
      </c>
      <c r="V96">
        <f t="shared" si="52"/>
        <v>62</v>
      </c>
      <c r="W96" s="10">
        <f t="shared" si="53"/>
        <v>0</v>
      </c>
      <c r="X96" s="10">
        <f>IF(OR(W96&lt;=0,V96&gt;Financiamento_EV!$C$7),0,W96*Financiamento_EV!$C$9)</f>
        <v>0</v>
      </c>
      <c r="Y96" s="10">
        <f t="shared" si="35"/>
        <v>0</v>
      </c>
      <c r="Z96" s="10">
        <f>IF(Y96&lt;=0,0,Y96*Financiamento_EV!$C$6)</f>
        <v>0</v>
      </c>
      <c r="AA96" s="10">
        <f>IF(Y96&lt;=0,0,IF(Financiamento_EV!$C$6=0,Y96/(Financiamento_EV!$C$7-V96+1),Y96*Financiamento_EV!$C$6/(1-(1+Financiamento_EV!$C$6)^(-(Financiamento_EV!$C$7-V96+1)))))</f>
        <v>0</v>
      </c>
      <c r="AB96" s="10">
        <f t="shared" si="36"/>
        <v>0</v>
      </c>
      <c r="AC96" s="10">
        <f>IF(Y96&lt;=0,0,MIN(IF(ISNUMBER(INDEX(Financiamento_EV!$I$17:$I$136,V96)),MAX(0,INDEX(Financiamento_EV!$I$17:$I$136,V96)),IF(V96&gt;=Financiamento_EV!$C$11,Financiamento_EV!$C$10,0)),MAX(0,Y96-AB96)))</f>
        <v>0</v>
      </c>
      <c r="AD96" s="10">
        <f>IF(OR(Y96&lt;=0,V96&lt;Financiamento_EV!$C$11),0,MIN(MAX(0,Financiamento_EV!$F$5-AA96),MAX(0,Y96-AB96-AC96)))</f>
        <v>0</v>
      </c>
      <c r="AE96" s="10">
        <f t="shared" si="37"/>
        <v>0</v>
      </c>
      <c r="AF96" s="10">
        <f t="shared" si="38"/>
        <v>0</v>
      </c>
      <c r="AG96" s="10">
        <f t="shared" si="39"/>
        <v>0</v>
      </c>
    </row>
    <row r="97" spans="1:33">
      <c r="A97">
        <f t="shared" si="48"/>
        <v>63</v>
      </c>
      <c r="B97" s="10">
        <f t="shared" si="49"/>
        <v>0</v>
      </c>
      <c r="C97" s="10">
        <f>IF(OR(B97&lt;=0,A97&gt;Financiamento_EV!$C$7),0,B97*Financiamento_EV!$C$9)</f>
        <v>0</v>
      </c>
      <c r="D97" s="10">
        <f t="shared" si="27"/>
        <v>0</v>
      </c>
      <c r="E97" s="10">
        <f>IF(D97&lt;=0,0,D97*Financiamento_EV!$C$6)</f>
        <v>0</v>
      </c>
      <c r="F97" s="10">
        <f>IF(D97&lt;=0,0,IF(Financiamento_EV!$C$6=0,D97/(Financiamento_EV!$C$7-A97+1),D97*Financiamento_EV!$C$6/(1-(1+Financiamento_EV!$C$6)^(-(Financiamento_EV!$C$7-A97+1)))))</f>
        <v>0</v>
      </c>
      <c r="G97" s="10">
        <f t="shared" si="28"/>
        <v>0</v>
      </c>
      <c r="H97" s="10">
        <f t="shared" si="29"/>
        <v>0</v>
      </c>
      <c r="I97" s="10">
        <f t="shared" si="30"/>
        <v>0</v>
      </c>
      <c r="K97">
        <f t="shared" si="50"/>
        <v>63</v>
      </c>
      <c r="L97" s="10">
        <f t="shared" si="51"/>
        <v>0</v>
      </c>
      <c r="M97" s="10">
        <f>IF(OR(L97&lt;=0,K97&gt;Financiamento_EV!$C$7),0,L97*Financiamento_EV!$C$9)</f>
        <v>0</v>
      </c>
      <c r="N97" s="10">
        <f t="shared" si="31"/>
        <v>0</v>
      </c>
      <c r="O97" s="10">
        <f>IF(N97&lt;=0,0,N97*Financiamento_EV!$C$6)</f>
        <v>0</v>
      </c>
      <c r="P97" s="10">
        <f>IF(N97&lt;=0,0,IF(Financiamento_EV!$C$6=0,N97/(Financiamento_EV!$C$7-K97+1),N97*Financiamento_EV!$C$6/(1-(1+Financiamento_EV!$C$6)^(-(Financiamento_EV!$C$7-K97+1)))))</f>
        <v>0</v>
      </c>
      <c r="Q97" s="10">
        <f t="shared" si="32"/>
        <v>0</v>
      </c>
      <c r="R97" s="10">
        <f>IF(N97&lt;=0,0,MIN(IF(ISNUMBER(INDEX(Financiamento_EV!$I$17:$I$136,K97)),MAX(0,INDEX(Financiamento_EV!$I$17:$I$136,K97)),IF(K97&gt;=Financiamento_EV!$C$11,Financiamento_EV!$C$10,0)),MAX(0,N97-Q97)))</f>
        <v>0</v>
      </c>
      <c r="S97" s="10">
        <f t="shared" si="33"/>
        <v>0</v>
      </c>
      <c r="T97" s="10">
        <f t="shared" si="34"/>
        <v>0</v>
      </c>
      <c r="V97">
        <f t="shared" si="52"/>
        <v>63</v>
      </c>
      <c r="W97" s="10">
        <f t="shared" si="53"/>
        <v>0</v>
      </c>
      <c r="X97" s="10">
        <f>IF(OR(W97&lt;=0,V97&gt;Financiamento_EV!$C$7),0,W97*Financiamento_EV!$C$9)</f>
        <v>0</v>
      </c>
      <c r="Y97" s="10">
        <f t="shared" si="35"/>
        <v>0</v>
      </c>
      <c r="Z97" s="10">
        <f>IF(Y97&lt;=0,0,Y97*Financiamento_EV!$C$6)</f>
        <v>0</v>
      </c>
      <c r="AA97" s="10">
        <f>IF(Y97&lt;=0,0,IF(Financiamento_EV!$C$6=0,Y97/(Financiamento_EV!$C$7-V97+1),Y97*Financiamento_EV!$C$6/(1-(1+Financiamento_EV!$C$6)^(-(Financiamento_EV!$C$7-V97+1)))))</f>
        <v>0</v>
      </c>
      <c r="AB97" s="10">
        <f t="shared" si="36"/>
        <v>0</v>
      </c>
      <c r="AC97" s="10">
        <f>IF(Y97&lt;=0,0,MIN(IF(ISNUMBER(INDEX(Financiamento_EV!$I$17:$I$136,V97)),MAX(0,INDEX(Financiamento_EV!$I$17:$I$136,V97)),IF(V97&gt;=Financiamento_EV!$C$11,Financiamento_EV!$C$10,0)),MAX(0,Y97-AB97)))</f>
        <v>0</v>
      </c>
      <c r="AD97" s="10">
        <f>IF(OR(Y97&lt;=0,V97&lt;Financiamento_EV!$C$11),0,MIN(MAX(0,Financiamento_EV!$F$5-AA97),MAX(0,Y97-AB97-AC97)))</f>
        <v>0</v>
      </c>
      <c r="AE97" s="10">
        <f t="shared" si="37"/>
        <v>0</v>
      </c>
      <c r="AF97" s="10">
        <f t="shared" si="38"/>
        <v>0</v>
      </c>
      <c r="AG97" s="10">
        <f t="shared" si="39"/>
        <v>0</v>
      </c>
    </row>
    <row r="98" spans="1:33">
      <c r="A98">
        <f t="shared" si="48"/>
        <v>64</v>
      </c>
      <c r="B98" s="10">
        <f t="shared" si="49"/>
        <v>0</v>
      </c>
      <c r="C98" s="10">
        <f>IF(OR(B98&lt;=0,A98&gt;Financiamento_EV!$C$7),0,B98*Financiamento_EV!$C$9)</f>
        <v>0</v>
      </c>
      <c r="D98" s="10">
        <f t="shared" si="27"/>
        <v>0</v>
      </c>
      <c r="E98" s="10">
        <f>IF(D98&lt;=0,0,D98*Financiamento_EV!$C$6)</f>
        <v>0</v>
      </c>
      <c r="F98" s="10">
        <f>IF(D98&lt;=0,0,IF(Financiamento_EV!$C$6=0,D98/(Financiamento_EV!$C$7-A98+1),D98*Financiamento_EV!$C$6/(1-(1+Financiamento_EV!$C$6)^(-(Financiamento_EV!$C$7-A98+1)))))</f>
        <v>0</v>
      </c>
      <c r="G98" s="10">
        <f t="shared" si="28"/>
        <v>0</v>
      </c>
      <c r="H98" s="10">
        <f t="shared" si="29"/>
        <v>0</v>
      </c>
      <c r="I98" s="10">
        <f t="shared" si="30"/>
        <v>0</v>
      </c>
      <c r="K98">
        <f t="shared" si="50"/>
        <v>64</v>
      </c>
      <c r="L98" s="10">
        <f t="shared" si="51"/>
        <v>0</v>
      </c>
      <c r="M98" s="10">
        <f>IF(OR(L98&lt;=0,K98&gt;Financiamento_EV!$C$7),0,L98*Financiamento_EV!$C$9)</f>
        <v>0</v>
      </c>
      <c r="N98" s="10">
        <f t="shared" si="31"/>
        <v>0</v>
      </c>
      <c r="O98" s="10">
        <f>IF(N98&lt;=0,0,N98*Financiamento_EV!$C$6)</f>
        <v>0</v>
      </c>
      <c r="P98" s="10">
        <f>IF(N98&lt;=0,0,IF(Financiamento_EV!$C$6=0,N98/(Financiamento_EV!$C$7-K98+1),N98*Financiamento_EV!$C$6/(1-(1+Financiamento_EV!$C$6)^(-(Financiamento_EV!$C$7-K98+1)))))</f>
        <v>0</v>
      </c>
      <c r="Q98" s="10">
        <f t="shared" si="32"/>
        <v>0</v>
      </c>
      <c r="R98" s="10">
        <f>IF(N98&lt;=0,0,MIN(IF(ISNUMBER(INDEX(Financiamento_EV!$I$17:$I$136,K98)),MAX(0,INDEX(Financiamento_EV!$I$17:$I$136,K98)),IF(K98&gt;=Financiamento_EV!$C$11,Financiamento_EV!$C$10,0)),MAX(0,N98-Q98)))</f>
        <v>0</v>
      </c>
      <c r="S98" s="10">
        <f t="shared" si="33"/>
        <v>0</v>
      </c>
      <c r="T98" s="10">
        <f t="shared" si="34"/>
        <v>0</v>
      </c>
      <c r="V98">
        <f t="shared" si="52"/>
        <v>64</v>
      </c>
      <c r="W98" s="10">
        <f t="shared" si="53"/>
        <v>0</v>
      </c>
      <c r="X98" s="10">
        <f>IF(OR(W98&lt;=0,V98&gt;Financiamento_EV!$C$7),0,W98*Financiamento_EV!$C$9)</f>
        <v>0</v>
      </c>
      <c r="Y98" s="10">
        <f t="shared" si="35"/>
        <v>0</v>
      </c>
      <c r="Z98" s="10">
        <f>IF(Y98&lt;=0,0,Y98*Financiamento_EV!$C$6)</f>
        <v>0</v>
      </c>
      <c r="AA98" s="10">
        <f>IF(Y98&lt;=0,0,IF(Financiamento_EV!$C$6=0,Y98/(Financiamento_EV!$C$7-V98+1),Y98*Financiamento_EV!$C$6/(1-(1+Financiamento_EV!$C$6)^(-(Financiamento_EV!$C$7-V98+1)))))</f>
        <v>0</v>
      </c>
      <c r="AB98" s="10">
        <f t="shared" si="36"/>
        <v>0</v>
      </c>
      <c r="AC98" s="10">
        <f>IF(Y98&lt;=0,0,MIN(IF(ISNUMBER(INDEX(Financiamento_EV!$I$17:$I$136,V98)),MAX(0,INDEX(Financiamento_EV!$I$17:$I$136,V98)),IF(V98&gt;=Financiamento_EV!$C$11,Financiamento_EV!$C$10,0)),MAX(0,Y98-AB98)))</f>
        <v>0</v>
      </c>
      <c r="AD98" s="10">
        <f>IF(OR(Y98&lt;=0,V98&lt;Financiamento_EV!$C$11),0,MIN(MAX(0,Financiamento_EV!$F$5-AA98),MAX(0,Y98-AB98-AC98)))</f>
        <v>0</v>
      </c>
      <c r="AE98" s="10">
        <f t="shared" si="37"/>
        <v>0</v>
      </c>
      <c r="AF98" s="10">
        <f t="shared" si="38"/>
        <v>0</v>
      </c>
      <c r="AG98" s="10">
        <f t="shared" si="39"/>
        <v>0</v>
      </c>
    </row>
    <row r="99" spans="1:33">
      <c r="A99">
        <f t="shared" si="48"/>
        <v>65</v>
      </c>
      <c r="B99" s="10">
        <f t="shared" si="49"/>
        <v>0</v>
      </c>
      <c r="C99" s="10">
        <f>IF(OR(B99&lt;=0,A99&gt;Financiamento_EV!$C$7),0,B99*Financiamento_EV!$C$9)</f>
        <v>0</v>
      </c>
      <c r="D99" s="10">
        <f t="shared" ref="D99:D130" si="54">MAX(0,B99+C99)</f>
        <v>0</v>
      </c>
      <c r="E99" s="10">
        <f>IF(D99&lt;=0,0,D99*Financiamento_EV!$C$6)</f>
        <v>0</v>
      </c>
      <c r="F99" s="10">
        <f>IF(D99&lt;=0,0,IF(Financiamento_EV!$C$6=0,D99/(Financiamento_EV!$C$7-A99+1),D99*Financiamento_EV!$C$6/(1-(1+Financiamento_EV!$C$6)^(-(Financiamento_EV!$C$7-A99+1)))))</f>
        <v>0</v>
      </c>
      <c r="G99" s="10">
        <f t="shared" ref="G99:G130" si="55">MAX(0,MIN(D99,F99-E99))</f>
        <v>0</v>
      </c>
      <c r="H99" s="10">
        <f t="shared" ref="H99:H130" si="56">MAX(0,D99-G99)</f>
        <v>0</v>
      </c>
      <c r="I99" s="10">
        <f t="shared" ref="I99:I130" si="57">IF(D99&lt;=0,0,F99)</f>
        <v>0</v>
      </c>
      <c r="K99">
        <f t="shared" si="50"/>
        <v>65</v>
      </c>
      <c r="L99" s="10">
        <f t="shared" si="51"/>
        <v>0</v>
      </c>
      <c r="M99" s="10">
        <f>IF(OR(L99&lt;=0,K99&gt;Financiamento_EV!$C$7),0,L99*Financiamento_EV!$C$9)</f>
        <v>0</v>
      </c>
      <c r="N99" s="10">
        <f t="shared" ref="N99:N130" si="58">MAX(0,L99+M99)</f>
        <v>0</v>
      </c>
      <c r="O99" s="10">
        <f>IF(N99&lt;=0,0,N99*Financiamento_EV!$C$6)</f>
        <v>0</v>
      </c>
      <c r="P99" s="10">
        <f>IF(N99&lt;=0,0,IF(Financiamento_EV!$C$6=0,N99/(Financiamento_EV!$C$7-K99+1),N99*Financiamento_EV!$C$6/(1-(1+Financiamento_EV!$C$6)^(-(Financiamento_EV!$C$7-K99+1)))))</f>
        <v>0</v>
      </c>
      <c r="Q99" s="10">
        <f t="shared" ref="Q99:Q130" si="59">MAX(0,MIN(N99,P99-O99))</f>
        <v>0</v>
      </c>
      <c r="R99" s="10">
        <f>IF(N99&lt;=0,0,MIN(IF(ISNUMBER(INDEX(Financiamento_EV!$I$17:$I$136,K99)),MAX(0,INDEX(Financiamento_EV!$I$17:$I$136,K99)),IF(K99&gt;=Financiamento_EV!$C$11,Financiamento_EV!$C$10,0)),MAX(0,N99-Q99)))</f>
        <v>0</v>
      </c>
      <c r="S99" s="10">
        <f t="shared" ref="S99:S130" si="60">MAX(0,N99-Q99-R99)</f>
        <v>0</v>
      </c>
      <c r="T99" s="10">
        <f t="shared" ref="T99:T130" si="61">IF(N99&lt;=0,0,P99+R99)</f>
        <v>0</v>
      </c>
      <c r="V99">
        <f t="shared" si="52"/>
        <v>65</v>
      </c>
      <c r="W99" s="10">
        <f t="shared" si="53"/>
        <v>0</v>
      </c>
      <c r="X99" s="10">
        <f>IF(OR(W99&lt;=0,V99&gt;Financiamento_EV!$C$7),0,W99*Financiamento_EV!$C$9)</f>
        <v>0</v>
      </c>
      <c r="Y99" s="10">
        <f t="shared" ref="Y99:Y130" si="62">MAX(0,W99+X99)</f>
        <v>0</v>
      </c>
      <c r="Z99" s="10">
        <f>IF(Y99&lt;=0,0,Y99*Financiamento_EV!$C$6)</f>
        <v>0</v>
      </c>
      <c r="AA99" s="10">
        <f>IF(Y99&lt;=0,0,IF(Financiamento_EV!$C$6=0,Y99/(Financiamento_EV!$C$7-V99+1),Y99*Financiamento_EV!$C$6/(1-(1+Financiamento_EV!$C$6)^(-(Financiamento_EV!$C$7-V99+1)))))</f>
        <v>0</v>
      </c>
      <c r="AB99" s="10">
        <f t="shared" ref="AB99:AB130" si="63">MAX(0,MIN(Y99,AA99-Z99))</f>
        <v>0</v>
      </c>
      <c r="AC99" s="10">
        <f>IF(Y99&lt;=0,0,MIN(IF(ISNUMBER(INDEX(Financiamento_EV!$I$17:$I$136,V99)),MAX(0,INDEX(Financiamento_EV!$I$17:$I$136,V99)),IF(V99&gt;=Financiamento_EV!$C$11,Financiamento_EV!$C$10,0)),MAX(0,Y99-AB99)))</f>
        <v>0</v>
      </c>
      <c r="AD99" s="10">
        <f>IF(OR(Y99&lt;=0,V99&lt;Financiamento_EV!$C$11),0,MIN(MAX(0,Financiamento_EV!$F$5-AA99),MAX(0,Y99-AB99-AC99)))</f>
        <v>0</v>
      </c>
      <c r="AE99" s="10">
        <f t="shared" ref="AE99:AE130" si="64">IF(Y99&lt;=0,0,AA99+AC99+AD99)</f>
        <v>0</v>
      </c>
      <c r="AF99" s="10">
        <f t="shared" ref="AF99:AF130" si="65">MAX(0,Y99-AB99-AC99-AD99)</f>
        <v>0</v>
      </c>
      <c r="AG99" s="10">
        <f t="shared" ref="AG99:AG130" si="66">AC99+AD99</f>
        <v>0</v>
      </c>
    </row>
    <row r="100" spans="1:33">
      <c r="A100">
        <f t="shared" ref="A100:A131" si="67">A99+1</f>
        <v>66</v>
      </c>
      <c r="B100" s="10">
        <f t="shared" ref="B100:B131" si="68">H99</f>
        <v>0</v>
      </c>
      <c r="C100" s="10">
        <f>IF(OR(B100&lt;=0,A100&gt;Financiamento_EV!$C$7),0,B100*Financiamento_EV!$C$9)</f>
        <v>0</v>
      </c>
      <c r="D100" s="10">
        <f t="shared" si="54"/>
        <v>0</v>
      </c>
      <c r="E100" s="10">
        <f>IF(D100&lt;=0,0,D100*Financiamento_EV!$C$6)</f>
        <v>0</v>
      </c>
      <c r="F100" s="10">
        <f>IF(D100&lt;=0,0,IF(Financiamento_EV!$C$6=0,D100/(Financiamento_EV!$C$7-A100+1),D100*Financiamento_EV!$C$6/(1-(1+Financiamento_EV!$C$6)^(-(Financiamento_EV!$C$7-A100+1)))))</f>
        <v>0</v>
      </c>
      <c r="G100" s="10">
        <f t="shared" si="55"/>
        <v>0</v>
      </c>
      <c r="H100" s="10">
        <f t="shared" si="56"/>
        <v>0</v>
      </c>
      <c r="I100" s="10">
        <f t="shared" si="57"/>
        <v>0</v>
      </c>
      <c r="K100">
        <f t="shared" ref="K100:K131" si="69">K99+1</f>
        <v>66</v>
      </c>
      <c r="L100" s="10">
        <f t="shared" ref="L100:L131" si="70">S99</f>
        <v>0</v>
      </c>
      <c r="M100" s="10">
        <f>IF(OR(L100&lt;=0,K100&gt;Financiamento_EV!$C$7),0,L100*Financiamento_EV!$C$9)</f>
        <v>0</v>
      </c>
      <c r="N100" s="10">
        <f t="shared" si="58"/>
        <v>0</v>
      </c>
      <c r="O100" s="10">
        <f>IF(N100&lt;=0,0,N100*Financiamento_EV!$C$6)</f>
        <v>0</v>
      </c>
      <c r="P100" s="10">
        <f>IF(N100&lt;=0,0,IF(Financiamento_EV!$C$6=0,N100/(Financiamento_EV!$C$7-K100+1),N100*Financiamento_EV!$C$6/(1-(1+Financiamento_EV!$C$6)^(-(Financiamento_EV!$C$7-K100+1)))))</f>
        <v>0</v>
      </c>
      <c r="Q100" s="10">
        <f t="shared" si="59"/>
        <v>0</v>
      </c>
      <c r="R100" s="10">
        <f>IF(N100&lt;=0,0,MIN(IF(ISNUMBER(INDEX(Financiamento_EV!$I$17:$I$136,K100)),MAX(0,INDEX(Financiamento_EV!$I$17:$I$136,K100)),IF(K100&gt;=Financiamento_EV!$C$11,Financiamento_EV!$C$10,0)),MAX(0,N100-Q100)))</f>
        <v>0</v>
      </c>
      <c r="S100" s="10">
        <f t="shared" si="60"/>
        <v>0</v>
      </c>
      <c r="T100" s="10">
        <f t="shared" si="61"/>
        <v>0</v>
      </c>
      <c r="V100">
        <f t="shared" ref="V100:V131" si="71">V99+1</f>
        <v>66</v>
      </c>
      <c r="W100" s="10">
        <f t="shared" ref="W100:W131" si="72">AF99</f>
        <v>0</v>
      </c>
      <c r="X100" s="10">
        <f>IF(OR(W100&lt;=0,V100&gt;Financiamento_EV!$C$7),0,W100*Financiamento_EV!$C$9)</f>
        <v>0</v>
      </c>
      <c r="Y100" s="10">
        <f t="shared" si="62"/>
        <v>0</v>
      </c>
      <c r="Z100" s="10">
        <f>IF(Y100&lt;=0,0,Y100*Financiamento_EV!$C$6)</f>
        <v>0</v>
      </c>
      <c r="AA100" s="10">
        <f>IF(Y100&lt;=0,0,IF(Financiamento_EV!$C$6=0,Y100/(Financiamento_EV!$C$7-V100+1),Y100*Financiamento_EV!$C$6/(1-(1+Financiamento_EV!$C$6)^(-(Financiamento_EV!$C$7-V100+1)))))</f>
        <v>0</v>
      </c>
      <c r="AB100" s="10">
        <f t="shared" si="63"/>
        <v>0</v>
      </c>
      <c r="AC100" s="10">
        <f>IF(Y100&lt;=0,0,MIN(IF(ISNUMBER(INDEX(Financiamento_EV!$I$17:$I$136,V100)),MAX(0,INDEX(Financiamento_EV!$I$17:$I$136,V100)),IF(V100&gt;=Financiamento_EV!$C$11,Financiamento_EV!$C$10,0)),MAX(0,Y100-AB100)))</f>
        <v>0</v>
      </c>
      <c r="AD100" s="10">
        <f>IF(OR(Y100&lt;=0,V100&lt;Financiamento_EV!$C$11),0,MIN(MAX(0,Financiamento_EV!$F$5-AA100),MAX(0,Y100-AB100-AC100)))</f>
        <v>0</v>
      </c>
      <c r="AE100" s="10">
        <f t="shared" si="64"/>
        <v>0</v>
      </c>
      <c r="AF100" s="10">
        <f t="shared" si="65"/>
        <v>0</v>
      </c>
      <c r="AG100" s="10">
        <f t="shared" si="66"/>
        <v>0</v>
      </c>
    </row>
    <row r="101" spans="1:33">
      <c r="A101">
        <f t="shared" si="67"/>
        <v>67</v>
      </c>
      <c r="B101" s="10">
        <f t="shared" si="68"/>
        <v>0</v>
      </c>
      <c r="C101" s="10">
        <f>IF(OR(B101&lt;=0,A101&gt;Financiamento_EV!$C$7),0,B101*Financiamento_EV!$C$9)</f>
        <v>0</v>
      </c>
      <c r="D101" s="10">
        <f t="shared" si="54"/>
        <v>0</v>
      </c>
      <c r="E101" s="10">
        <f>IF(D101&lt;=0,0,D101*Financiamento_EV!$C$6)</f>
        <v>0</v>
      </c>
      <c r="F101" s="10">
        <f>IF(D101&lt;=0,0,IF(Financiamento_EV!$C$6=0,D101/(Financiamento_EV!$C$7-A101+1),D101*Financiamento_EV!$C$6/(1-(1+Financiamento_EV!$C$6)^(-(Financiamento_EV!$C$7-A101+1)))))</f>
        <v>0</v>
      </c>
      <c r="G101" s="10">
        <f t="shared" si="55"/>
        <v>0</v>
      </c>
      <c r="H101" s="10">
        <f t="shared" si="56"/>
        <v>0</v>
      </c>
      <c r="I101" s="10">
        <f t="shared" si="57"/>
        <v>0</v>
      </c>
      <c r="K101">
        <f t="shared" si="69"/>
        <v>67</v>
      </c>
      <c r="L101" s="10">
        <f t="shared" si="70"/>
        <v>0</v>
      </c>
      <c r="M101" s="10">
        <f>IF(OR(L101&lt;=0,K101&gt;Financiamento_EV!$C$7),0,L101*Financiamento_EV!$C$9)</f>
        <v>0</v>
      </c>
      <c r="N101" s="10">
        <f t="shared" si="58"/>
        <v>0</v>
      </c>
      <c r="O101" s="10">
        <f>IF(N101&lt;=0,0,N101*Financiamento_EV!$C$6)</f>
        <v>0</v>
      </c>
      <c r="P101" s="10">
        <f>IF(N101&lt;=0,0,IF(Financiamento_EV!$C$6=0,N101/(Financiamento_EV!$C$7-K101+1),N101*Financiamento_EV!$C$6/(1-(1+Financiamento_EV!$C$6)^(-(Financiamento_EV!$C$7-K101+1)))))</f>
        <v>0</v>
      </c>
      <c r="Q101" s="10">
        <f t="shared" si="59"/>
        <v>0</v>
      </c>
      <c r="R101" s="10">
        <f>IF(N101&lt;=0,0,MIN(IF(ISNUMBER(INDEX(Financiamento_EV!$I$17:$I$136,K101)),MAX(0,INDEX(Financiamento_EV!$I$17:$I$136,K101)),IF(K101&gt;=Financiamento_EV!$C$11,Financiamento_EV!$C$10,0)),MAX(0,N101-Q101)))</f>
        <v>0</v>
      </c>
      <c r="S101" s="10">
        <f t="shared" si="60"/>
        <v>0</v>
      </c>
      <c r="T101" s="10">
        <f t="shared" si="61"/>
        <v>0</v>
      </c>
      <c r="V101">
        <f t="shared" si="71"/>
        <v>67</v>
      </c>
      <c r="W101" s="10">
        <f t="shared" si="72"/>
        <v>0</v>
      </c>
      <c r="X101" s="10">
        <f>IF(OR(W101&lt;=0,V101&gt;Financiamento_EV!$C$7),0,W101*Financiamento_EV!$C$9)</f>
        <v>0</v>
      </c>
      <c r="Y101" s="10">
        <f t="shared" si="62"/>
        <v>0</v>
      </c>
      <c r="Z101" s="10">
        <f>IF(Y101&lt;=0,0,Y101*Financiamento_EV!$C$6)</f>
        <v>0</v>
      </c>
      <c r="AA101" s="10">
        <f>IF(Y101&lt;=0,0,IF(Financiamento_EV!$C$6=0,Y101/(Financiamento_EV!$C$7-V101+1),Y101*Financiamento_EV!$C$6/(1-(1+Financiamento_EV!$C$6)^(-(Financiamento_EV!$C$7-V101+1)))))</f>
        <v>0</v>
      </c>
      <c r="AB101" s="10">
        <f t="shared" si="63"/>
        <v>0</v>
      </c>
      <c r="AC101" s="10">
        <f>IF(Y101&lt;=0,0,MIN(IF(ISNUMBER(INDEX(Financiamento_EV!$I$17:$I$136,V101)),MAX(0,INDEX(Financiamento_EV!$I$17:$I$136,V101)),IF(V101&gt;=Financiamento_EV!$C$11,Financiamento_EV!$C$10,0)),MAX(0,Y101-AB101)))</f>
        <v>0</v>
      </c>
      <c r="AD101" s="10">
        <f>IF(OR(Y101&lt;=0,V101&lt;Financiamento_EV!$C$11),0,MIN(MAX(0,Financiamento_EV!$F$5-AA101),MAX(0,Y101-AB101-AC101)))</f>
        <v>0</v>
      </c>
      <c r="AE101" s="10">
        <f t="shared" si="64"/>
        <v>0</v>
      </c>
      <c r="AF101" s="10">
        <f t="shared" si="65"/>
        <v>0</v>
      </c>
      <c r="AG101" s="10">
        <f t="shared" si="66"/>
        <v>0</v>
      </c>
    </row>
    <row r="102" spans="1:33">
      <c r="A102">
        <f t="shared" si="67"/>
        <v>68</v>
      </c>
      <c r="B102" s="10">
        <f t="shared" si="68"/>
        <v>0</v>
      </c>
      <c r="C102" s="10">
        <f>IF(OR(B102&lt;=0,A102&gt;Financiamento_EV!$C$7),0,B102*Financiamento_EV!$C$9)</f>
        <v>0</v>
      </c>
      <c r="D102" s="10">
        <f t="shared" si="54"/>
        <v>0</v>
      </c>
      <c r="E102" s="10">
        <f>IF(D102&lt;=0,0,D102*Financiamento_EV!$C$6)</f>
        <v>0</v>
      </c>
      <c r="F102" s="10">
        <f>IF(D102&lt;=0,0,IF(Financiamento_EV!$C$6=0,D102/(Financiamento_EV!$C$7-A102+1),D102*Financiamento_EV!$C$6/(1-(1+Financiamento_EV!$C$6)^(-(Financiamento_EV!$C$7-A102+1)))))</f>
        <v>0</v>
      </c>
      <c r="G102" s="10">
        <f t="shared" si="55"/>
        <v>0</v>
      </c>
      <c r="H102" s="10">
        <f t="shared" si="56"/>
        <v>0</v>
      </c>
      <c r="I102" s="10">
        <f t="shared" si="57"/>
        <v>0</v>
      </c>
      <c r="K102">
        <f t="shared" si="69"/>
        <v>68</v>
      </c>
      <c r="L102" s="10">
        <f t="shared" si="70"/>
        <v>0</v>
      </c>
      <c r="M102" s="10">
        <f>IF(OR(L102&lt;=0,K102&gt;Financiamento_EV!$C$7),0,L102*Financiamento_EV!$C$9)</f>
        <v>0</v>
      </c>
      <c r="N102" s="10">
        <f t="shared" si="58"/>
        <v>0</v>
      </c>
      <c r="O102" s="10">
        <f>IF(N102&lt;=0,0,N102*Financiamento_EV!$C$6)</f>
        <v>0</v>
      </c>
      <c r="P102" s="10">
        <f>IF(N102&lt;=0,0,IF(Financiamento_EV!$C$6=0,N102/(Financiamento_EV!$C$7-K102+1),N102*Financiamento_EV!$C$6/(1-(1+Financiamento_EV!$C$6)^(-(Financiamento_EV!$C$7-K102+1)))))</f>
        <v>0</v>
      </c>
      <c r="Q102" s="10">
        <f t="shared" si="59"/>
        <v>0</v>
      </c>
      <c r="R102" s="10">
        <f>IF(N102&lt;=0,0,MIN(IF(ISNUMBER(INDEX(Financiamento_EV!$I$17:$I$136,K102)),MAX(0,INDEX(Financiamento_EV!$I$17:$I$136,K102)),IF(K102&gt;=Financiamento_EV!$C$11,Financiamento_EV!$C$10,0)),MAX(0,N102-Q102)))</f>
        <v>0</v>
      </c>
      <c r="S102" s="10">
        <f t="shared" si="60"/>
        <v>0</v>
      </c>
      <c r="T102" s="10">
        <f t="shared" si="61"/>
        <v>0</v>
      </c>
      <c r="V102">
        <f t="shared" si="71"/>
        <v>68</v>
      </c>
      <c r="W102" s="10">
        <f t="shared" si="72"/>
        <v>0</v>
      </c>
      <c r="X102" s="10">
        <f>IF(OR(W102&lt;=0,V102&gt;Financiamento_EV!$C$7),0,W102*Financiamento_EV!$C$9)</f>
        <v>0</v>
      </c>
      <c r="Y102" s="10">
        <f t="shared" si="62"/>
        <v>0</v>
      </c>
      <c r="Z102" s="10">
        <f>IF(Y102&lt;=0,0,Y102*Financiamento_EV!$C$6)</f>
        <v>0</v>
      </c>
      <c r="AA102" s="10">
        <f>IF(Y102&lt;=0,0,IF(Financiamento_EV!$C$6=0,Y102/(Financiamento_EV!$C$7-V102+1),Y102*Financiamento_EV!$C$6/(1-(1+Financiamento_EV!$C$6)^(-(Financiamento_EV!$C$7-V102+1)))))</f>
        <v>0</v>
      </c>
      <c r="AB102" s="10">
        <f t="shared" si="63"/>
        <v>0</v>
      </c>
      <c r="AC102" s="10">
        <f>IF(Y102&lt;=0,0,MIN(IF(ISNUMBER(INDEX(Financiamento_EV!$I$17:$I$136,V102)),MAX(0,INDEX(Financiamento_EV!$I$17:$I$136,V102)),IF(V102&gt;=Financiamento_EV!$C$11,Financiamento_EV!$C$10,0)),MAX(0,Y102-AB102)))</f>
        <v>0</v>
      </c>
      <c r="AD102" s="10">
        <f>IF(OR(Y102&lt;=0,V102&lt;Financiamento_EV!$C$11),0,MIN(MAX(0,Financiamento_EV!$F$5-AA102),MAX(0,Y102-AB102-AC102)))</f>
        <v>0</v>
      </c>
      <c r="AE102" s="10">
        <f t="shared" si="64"/>
        <v>0</v>
      </c>
      <c r="AF102" s="10">
        <f t="shared" si="65"/>
        <v>0</v>
      </c>
      <c r="AG102" s="10">
        <f t="shared" si="66"/>
        <v>0</v>
      </c>
    </row>
    <row r="103" spans="1:33">
      <c r="A103">
        <f t="shared" si="67"/>
        <v>69</v>
      </c>
      <c r="B103" s="10">
        <f t="shared" si="68"/>
        <v>0</v>
      </c>
      <c r="C103" s="10">
        <f>IF(OR(B103&lt;=0,A103&gt;Financiamento_EV!$C$7),0,B103*Financiamento_EV!$C$9)</f>
        <v>0</v>
      </c>
      <c r="D103" s="10">
        <f t="shared" si="54"/>
        <v>0</v>
      </c>
      <c r="E103" s="10">
        <f>IF(D103&lt;=0,0,D103*Financiamento_EV!$C$6)</f>
        <v>0</v>
      </c>
      <c r="F103" s="10">
        <f>IF(D103&lt;=0,0,IF(Financiamento_EV!$C$6=0,D103/(Financiamento_EV!$C$7-A103+1),D103*Financiamento_EV!$C$6/(1-(1+Financiamento_EV!$C$6)^(-(Financiamento_EV!$C$7-A103+1)))))</f>
        <v>0</v>
      </c>
      <c r="G103" s="10">
        <f t="shared" si="55"/>
        <v>0</v>
      </c>
      <c r="H103" s="10">
        <f t="shared" si="56"/>
        <v>0</v>
      </c>
      <c r="I103" s="10">
        <f t="shared" si="57"/>
        <v>0</v>
      </c>
      <c r="K103">
        <f t="shared" si="69"/>
        <v>69</v>
      </c>
      <c r="L103" s="10">
        <f t="shared" si="70"/>
        <v>0</v>
      </c>
      <c r="M103" s="10">
        <f>IF(OR(L103&lt;=0,K103&gt;Financiamento_EV!$C$7),0,L103*Financiamento_EV!$C$9)</f>
        <v>0</v>
      </c>
      <c r="N103" s="10">
        <f t="shared" si="58"/>
        <v>0</v>
      </c>
      <c r="O103" s="10">
        <f>IF(N103&lt;=0,0,N103*Financiamento_EV!$C$6)</f>
        <v>0</v>
      </c>
      <c r="P103" s="10">
        <f>IF(N103&lt;=0,0,IF(Financiamento_EV!$C$6=0,N103/(Financiamento_EV!$C$7-K103+1),N103*Financiamento_EV!$C$6/(1-(1+Financiamento_EV!$C$6)^(-(Financiamento_EV!$C$7-K103+1)))))</f>
        <v>0</v>
      </c>
      <c r="Q103" s="10">
        <f t="shared" si="59"/>
        <v>0</v>
      </c>
      <c r="R103" s="10">
        <f>IF(N103&lt;=0,0,MIN(IF(ISNUMBER(INDEX(Financiamento_EV!$I$17:$I$136,K103)),MAX(0,INDEX(Financiamento_EV!$I$17:$I$136,K103)),IF(K103&gt;=Financiamento_EV!$C$11,Financiamento_EV!$C$10,0)),MAX(0,N103-Q103)))</f>
        <v>0</v>
      </c>
      <c r="S103" s="10">
        <f t="shared" si="60"/>
        <v>0</v>
      </c>
      <c r="T103" s="10">
        <f t="shared" si="61"/>
        <v>0</v>
      </c>
      <c r="V103">
        <f t="shared" si="71"/>
        <v>69</v>
      </c>
      <c r="W103" s="10">
        <f t="shared" si="72"/>
        <v>0</v>
      </c>
      <c r="X103" s="10">
        <f>IF(OR(W103&lt;=0,V103&gt;Financiamento_EV!$C$7),0,W103*Financiamento_EV!$C$9)</f>
        <v>0</v>
      </c>
      <c r="Y103" s="10">
        <f t="shared" si="62"/>
        <v>0</v>
      </c>
      <c r="Z103" s="10">
        <f>IF(Y103&lt;=0,0,Y103*Financiamento_EV!$C$6)</f>
        <v>0</v>
      </c>
      <c r="AA103" s="10">
        <f>IF(Y103&lt;=0,0,IF(Financiamento_EV!$C$6=0,Y103/(Financiamento_EV!$C$7-V103+1),Y103*Financiamento_EV!$C$6/(1-(1+Financiamento_EV!$C$6)^(-(Financiamento_EV!$C$7-V103+1)))))</f>
        <v>0</v>
      </c>
      <c r="AB103" s="10">
        <f t="shared" si="63"/>
        <v>0</v>
      </c>
      <c r="AC103" s="10">
        <f>IF(Y103&lt;=0,0,MIN(IF(ISNUMBER(INDEX(Financiamento_EV!$I$17:$I$136,V103)),MAX(0,INDEX(Financiamento_EV!$I$17:$I$136,V103)),IF(V103&gt;=Financiamento_EV!$C$11,Financiamento_EV!$C$10,0)),MAX(0,Y103-AB103)))</f>
        <v>0</v>
      </c>
      <c r="AD103" s="10">
        <f>IF(OR(Y103&lt;=0,V103&lt;Financiamento_EV!$C$11),0,MIN(MAX(0,Financiamento_EV!$F$5-AA103),MAX(0,Y103-AB103-AC103)))</f>
        <v>0</v>
      </c>
      <c r="AE103" s="10">
        <f t="shared" si="64"/>
        <v>0</v>
      </c>
      <c r="AF103" s="10">
        <f t="shared" si="65"/>
        <v>0</v>
      </c>
      <c r="AG103" s="10">
        <f t="shared" si="66"/>
        <v>0</v>
      </c>
    </row>
    <row r="104" spans="1:33">
      <c r="A104">
        <f t="shared" si="67"/>
        <v>70</v>
      </c>
      <c r="B104" s="10">
        <f t="shared" si="68"/>
        <v>0</v>
      </c>
      <c r="C104" s="10">
        <f>IF(OR(B104&lt;=0,A104&gt;Financiamento_EV!$C$7),0,B104*Financiamento_EV!$C$9)</f>
        <v>0</v>
      </c>
      <c r="D104" s="10">
        <f t="shared" si="54"/>
        <v>0</v>
      </c>
      <c r="E104" s="10">
        <f>IF(D104&lt;=0,0,D104*Financiamento_EV!$C$6)</f>
        <v>0</v>
      </c>
      <c r="F104" s="10">
        <f>IF(D104&lt;=0,0,IF(Financiamento_EV!$C$6=0,D104/(Financiamento_EV!$C$7-A104+1),D104*Financiamento_EV!$C$6/(1-(1+Financiamento_EV!$C$6)^(-(Financiamento_EV!$C$7-A104+1)))))</f>
        <v>0</v>
      </c>
      <c r="G104" s="10">
        <f t="shared" si="55"/>
        <v>0</v>
      </c>
      <c r="H104" s="10">
        <f t="shared" si="56"/>
        <v>0</v>
      </c>
      <c r="I104" s="10">
        <f t="shared" si="57"/>
        <v>0</v>
      </c>
      <c r="K104">
        <f t="shared" si="69"/>
        <v>70</v>
      </c>
      <c r="L104" s="10">
        <f t="shared" si="70"/>
        <v>0</v>
      </c>
      <c r="M104" s="10">
        <f>IF(OR(L104&lt;=0,K104&gt;Financiamento_EV!$C$7),0,L104*Financiamento_EV!$C$9)</f>
        <v>0</v>
      </c>
      <c r="N104" s="10">
        <f t="shared" si="58"/>
        <v>0</v>
      </c>
      <c r="O104" s="10">
        <f>IF(N104&lt;=0,0,N104*Financiamento_EV!$C$6)</f>
        <v>0</v>
      </c>
      <c r="P104" s="10">
        <f>IF(N104&lt;=0,0,IF(Financiamento_EV!$C$6=0,N104/(Financiamento_EV!$C$7-K104+1),N104*Financiamento_EV!$C$6/(1-(1+Financiamento_EV!$C$6)^(-(Financiamento_EV!$C$7-K104+1)))))</f>
        <v>0</v>
      </c>
      <c r="Q104" s="10">
        <f t="shared" si="59"/>
        <v>0</v>
      </c>
      <c r="R104" s="10">
        <f>IF(N104&lt;=0,0,MIN(IF(ISNUMBER(INDEX(Financiamento_EV!$I$17:$I$136,K104)),MAX(0,INDEX(Financiamento_EV!$I$17:$I$136,K104)),IF(K104&gt;=Financiamento_EV!$C$11,Financiamento_EV!$C$10,0)),MAX(0,N104-Q104)))</f>
        <v>0</v>
      </c>
      <c r="S104" s="10">
        <f t="shared" si="60"/>
        <v>0</v>
      </c>
      <c r="T104" s="10">
        <f t="shared" si="61"/>
        <v>0</v>
      </c>
      <c r="V104">
        <f t="shared" si="71"/>
        <v>70</v>
      </c>
      <c r="W104" s="10">
        <f t="shared" si="72"/>
        <v>0</v>
      </c>
      <c r="X104" s="10">
        <f>IF(OR(W104&lt;=0,V104&gt;Financiamento_EV!$C$7),0,W104*Financiamento_EV!$C$9)</f>
        <v>0</v>
      </c>
      <c r="Y104" s="10">
        <f t="shared" si="62"/>
        <v>0</v>
      </c>
      <c r="Z104" s="10">
        <f>IF(Y104&lt;=0,0,Y104*Financiamento_EV!$C$6)</f>
        <v>0</v>
      </c>
      <c r="AA104" s="10">
        <f>IF(Y104&lt;=0,0,IF(Financiamento_EV!$C$6=0,Y104/(Financiamento_EV!$C$7-V104+1),Y104*Financiamento_EV!$C$6/(1-(1+Financiamento_EV!$C$6)^(-(Financiamento_EV!$C$7-V104+1)))))</f>
        <v>0</v>
      </c>
      <c r="AB104" s="10">
        <f t="shared" si="63"/>
        <v>0</v>
      </c>
      <c r="AC104" s="10">
        <f>IF(Y104&lt;=0,0,MIN(IF(ISNUMBER(INDEX(Financiamento_EV!$I$17:$I$136,V104)),MAX(0,INDEX(Financiamento_EV!$I$17:$I$136,V104)),IF(V104&gt;=Financiamento_EV!$C$11,Financiamento_EV!$C$10,0)),MAX(0,Y104-AB104)))</f>
        <v>0</v>
      </c>
      <c r="AD104" s="10">
        <f>IF(OR(Y104&lt;=0,V104&lt;Financiamento_EV!$C$11),0,MIN(MAX(0,Financiamento_EV!$F$5-AA104),MAX(0,Y104-AB104-AC104)))</f>
        <v>0</v>
      </c>
      <c r="AE104" s="10">
        <f t="shared" si="64"/>
        <v>0</v>
      </c>
      <c r="AF104" s="10">
        <f t="shared" si="65"/>
        <v>0</v>
      </c>
      <c r="AG104" s="10">
        <f t="shared" si="66"/>
        <v>0</v>
      </c>
    </row>
    <row r="105" spans="1:33">
      <c r="A105">
        <f t="shared" si="67"/>
        <v>71</v>
      </c>
      <c r="B105" s="10">
        <f t="shared" si="68"/>
        <v>0</v>
      </c>
      <c r="C105" s="10">
        <f>IF(OR(B105&lt;=0,A105&gt;Financiamento_EV!$C$7),0,B105*Financiamento_EV!$C$9)</f>
        <v>0</v>
      </c>
      <c r="D105" s="10">
        <f t="shared" si="54"/>
        <v>0</v>
      </c>
      <c r="E105" s="10">
        <f>IF(D105&lt;=0,0,D105*Financiamento_EV!$C$6)</f>
        <v>0</v>
      </c>
      <c r="F105" s="10">
        <f>IF(D105&lt;=0,0,IF(Financiamento_EV!$C$6=0,D105/(Financiamento_EV!$C$7-A105+1),D105*Financiamento_EV!$C$6/(1-(1+Financiamento_EV!$C$6)^(-(Financiamento_EV!$C$7-A105+1)))))</f>
        <v>0</v>
      </c>
      <c r="G105" s="10">
        <f t="shared" si="55"/>
        <v>0</v>
      </c>
      <c r="H105" s="10">
        <f t="shared" si="56"/>
        <v>0</v>
      </c>
      <c r="I105" s="10">
        <f t="shared" si="57"/>
        <v>0</v>
      </c>
      <c r="K105">
        <f t="shared" si="69"/>
        <v>71</v>
      </c>
      <c r="L105" s="10">
        <f t="shared" si="70"/>
        <v>0</v>
      </c>
      <c r="M105" s="10">
        <f>IF(OR(L105&lt;=0,K105&gt;Financiamento_EV!$C$7),0,L105*Financiamento_EV!$C$9)</f>
        <v>0</v>
      </c>
      <c r="N105" s="10">
        <f t="shared" si="58"/>
        <v>0</v>
      </c>
      <c r="O105" s="10">
        <f>IF(N105&lt;=0,0,N105*Financiamento_EV!$C$6)</f>
        <v>0</v>
      </c>
      <c r="P105" s="10">
        <f>IF(N105&lt;=0,0,IF(Financiamento_EV!$C$6=0,N105/(Financiamento_EV!$C$7-K105+1),N105*Financiamento_EV!$C$6/(1-(1+Financiamento_EV!$C$6)^(-(Financiamento_EV!$C$7-K105+1)))))</f>
        <v>0</v>
      </c>
      <c r="Q105" s="10">
        <f t="shared" si="59"/>
        <v>0</v>
      </c>
      <c r="R105" s="10">
        <f>IF(N105&lt;=0,0,MIN(IF(ISNUMBER(INDEX(Financiamento_EV!$I$17:$I$136,K105)),MAX(0,INDEX(Financiamento_EV!$I$17:$I$136,K105)),IF(K105&gt;=Financiamento_EV!$C$11,Financiamento_EV!$C$10,0)),MAX(0,N105-Q105)))</f>
        <v>0</v>
      </c>
      <c r="S105" s="10">
        <f t="shared" si="60"/>
        <v>0</v>
      </c>
      <c r="T105" s="10">
        <f t="shared" si="61"/>
        <v>0</v>
      </c>
      <c r="V105">
        <f t="shared" si="71"/>
        <v>71</v>
      </c>
      <c r="W105" s="10">
        <f t="shared" si="72"/>
        <v>0</v>
      </c>
      <c r="X105" s="10">
        <f>IF(OR(W105&lt;=0,V105&gt;Financiamento_EV!$C$7),0,W105*Financiamento_EV!$C$9)</f>
        <v>0</v>
      </c>
      <c r="Y105" s="10">
        <f t="shared" si="62"/>
        <v>0</v>
      </c>
      <c r="Z105" s="10">
        <f>IF(Y105&lt;=0,0,Y105*Financiamento_EV!$C$6)</f>
        <v>0</v>
      </c>
      <c r="AA105" s="10">
        <f>IF(Y105&lt;=0,0,IF(Financiamento_EV!$C$6=0,Y105/(Financiamento_EV!$C$7-V105+1),Y105*Financiamento_EV!$C$6/(1-(1+Financiamento_EV!$C$6)^(-(Financiamento_EV!$C$7-V105+1)))))</f>
        <v>0</v>
      </c>
      <c r="AB105" s="10">
        <f t="shared" si="63"/>
        <v>0</v>
      </c>
      <c r="AC105" s="10">
        <f>IF(Y105&lt;=0,0,MIN(IF(ISNUMBER(INDEX(Financiamento_EV!$I$17:$I$136,V105)),MAX(0,INDEX(Financiamento_EV!$I$17:$I$136,V105)),IF(V105&gt;=Financiamento_EV!$C$11,Financiamento_EV!$C$10,0)),MAX(0,Y105-AB105)))</f>
        <v>0</v>
      </c>
      <c r="AD105" s="10">
        <f>IF(OR(Y105&lt;=0,V105&lt;Financiamento_EV!$C$11),0,MIN(MAX(0,Financiamento_EV!$F$5-AA105),MAX(0,Y105-AB105-AC105)))</f>
        <v>0</v>
      </c>
      <c r="AE105" s="10">
        <f t="shared" si="64"/>
        <v>0</v>
      </c>
      <c r="AF105" s="10">
        <f t="shared" si="65"/>
        <v>0</v>
      </c>
      <c r="AG105" s="10">
        <f t="shared" si="66"/>
        <v>0</v>
      </c>
    </row>
    <row r="106" spans="1:33">
      <c r="A106">
        <f t="shared" si="67"/>
        <v>72</v>
      </c>
      <c r="B106" s="10">
        <f t="shared" si="68"/>
        <v>0</v>
      </c>
      <c r="C106" s="10">
        <f>IF(OR(B106&lt;=0,A106&gt;Financiamento_EV!$C$7),0,B106*Financiamento_EV!$C$9)</f>
        <v>0</v>
      </c>
      <c r="D106" s="10">
        <f t="shared" si="54"/>
        <v>0</v>
      </c>
      <c r="E106" s="10">
        <f>IF(D106&lt;=0,0,D106*Financiamento_EV!$C$6)</f>
        <v>0</v>
      </c>
      <c r="F106" s="10">
        <f>IF(D106&lt;=0,0,IF(Financiamento_EV!$C$6=0,D106/(Financiamento_EV!$C$7-A106+1),D106*Financiamento_EV!$C$6/(1-(1+Financiamento_EV!$C$6)^(-(Financiamento_EV!$C$7-A106+1)))))</f>
        <v>0</v>
      </c>
      <c r="G106" s="10">
        <f t="shared" si="55"/>
        <v>0</v>
      </c>
      <c r="H106" s="10">
        <f t="shared" si="56"/>
        <v>0</v>
      </c>
      <c r="I106" s="10">
        <f t="shared" si="57"/>
        <v>0</v>
      </c>
      <c r="K106">
        <f t="shared" si="69"/>
        <v>72</v>
      </c>
      <c r="L106" s="10">
        <f t="shared" si="70"/>
        <v>0</v>
      </c>
      <c r="M106" s="10">
        <f>IF(OR(L106&lt;=0,K106&gt;Financiamento_EV!$C$7),0,L106*Financiamento_EV!$C$9)</f>
        <v>0</v>
      </c>
      <c r="N106" s="10">
        <f t="shared" si="58"/>
        <v>0</v>
      </c>
      <c r="O106" s="10">
        <f>IF(N106&lt;=0,0,N106*Financiamento_EV!$C$6)</f>
        <v>0</v>
      </c>
      <c r="P106" s="10">
        <f>IF(N106&lt;=0,0,IF(Financiamento_EV!$C$6=0,N106/(Financiamento_EV!$C$7-K106+1),N106*Financiamento_EV!$C$6/(1-(1+Financiamento_EV!$C$6)^(-(Financiamento_EV!$C$7-K106+1)))))</f>
        <v>0</v>
      </c>
      <c r="Q106" s="10">
        <f t="shared" si="59"/>
        <v>0</v>
      </c>
      <c r="R106" s="10">
        <f>IF(N106&lt;=0,0,MIN(IF(ISNUMBER(INDEX(Financiamento_EV!$I$17:$I$136,K106)),MAX(0,INDEX(Financiamento_EV!$I$17:$I$136,K106)),IF(K106&gt;=Financiamento_EV!$C$11,Financiamento_EV!$C$10,0)),MAX(0,N106-Q106)))</f>
        <v>0</v>
      </c>
      <c r="S106" s="10">
        <f t="shared" si="60"/>
        <v>0</v>
      </c>
      <c r="T106" s="10">
        <f t="shared" si="61"/>
        <v>0</v>
      </c>
      <c r="V106">
        <f t="shared" si="71"/>
        <v>72</v>
      </c>
      <c r="W106" s="10">
        <f t="shared" si="72"/>
        <v>0</v>
      </c>
      <c r="X106" s="10">
        <f>IF(OR(W106&lt;=0,V106&gt;Financiamento_EV!$C$7),0,W106*Financiamento_EV!$C$9)</f>
        <v>0</v>
      </c>
      <c r="Y106" s="10">
        <f t="shared" si="62"/>
        <v>0</v>
      </c>
      <c r="Z106" s="10">
        <f>IF(Y106&lt;=0,0,Y106*Financiamento_EV!$C$6)</f>
        <v>0</v>
      </c>
      <c r="AA106" s="10">
        <f>IF(Y106&lt;=0,0,IF(Financiamento_EV!$C$6=0,Y106/(Financiamento_EV!$C$7-V106+1),Y106*Financiamento_EV!$C$6/(1-(1+Financiamento_EV!$C$6)^(-(Financiamento_EV!$C$7-V106+1)))))</f>
        <v>0</v>
      </c>
      <c r="AB106" s="10">
        <f t="shared" si="63"/>
        <v>0</v>
      </c>
      <c r="AC106" s="10">
        <f>IF(Y106&lt;=0,0,MIN(IF(ISNUMBER(INDEX(Financiamento_EV!$I$17:$I$136,V106)),MAX(0,INDEX(Financiamento_EV!$I$17:$I$136,V106)),IF(V106&gt;=Financiamento_EV!$C$11,Financiamento_EV!$C$10,0)),MAX(0,Y106-AB106)))</f>
        <v>0</v>
      </c>
      <c r="AD106" s="10">
        <f>IF(OR(Y106&lt;=0,V106&lt;Financiamento_EV!$C$11),0,MIN(MAX(0,Financiamento_EV!$F$5-AA106),MAX(0,Y106-AB106-AC106)))</f>
        <v>0</v>
      </c>
      <c r="AE106" s="10">
        <f t="shared" si="64"/>
        <v>0</v>
      </c>
      <c r="AF106" s="10">
        <f t="shared" si="65"/>
        <v>0</v>
      </c>
      <c r="AG106" s="10">
        <f t="shared" si="66"/>
        <v>0</v>
      </c>
    </row>
    <row r="107" spans="1:33">
      <c r="A107">
        <f t="shared" si="67"/>
        <v>73</v>
      </c>
      <c r="B107" s="10">
        <f t="shared" si="68"/>
        <v>0</v>
      </c>
      <c r="C107" s="10">
        <f>IF(OR(B107&lt;=0,A107&gt;Financiamento_EV!$C$7),0,B107*Financiamento_EV!$C$9)</f>
        <v>0</v>
      </c>
      <c r="D107" s="10">
        <f t="shared" si="54"/>
        <v>0</v>
      </c>
      <c r="E107" s="10">
        <f>IF(D107&lt;=0,0,D107*Financiamento_EV!$C$6)</f>
        <v>0</v>
      </c>
      <c r="F107" s="10">
        <f>IF(D107&lt;=0,0,IF(Financiamento_EV!$C$6=0,D107/(Financiamento_EV!$C$7-A107+1),D107*Financiamento_EV!$C$6/(1-(1+Financiamento_EV!$C$6)^(-(Financiamento_EV!$C$7-A107+1)))))</f>
        <v>0</v>
      </c>
      <c r="G107" s="10">
        <f t="shared" si="55"/>
        <v>0</v>
      </c>
      <c r="H107" s="10">
        <f t="shared" si="56"/>
        <v>0</v>
      </c>
      <c r="I107" s="10">
        <f t="shared" si="57"/>
        <v>0</v>
      </c>
      <c r="K107">
        <f t="shared" si="69"/>
        <v>73</v>
      </c>
      <c r="L107" s="10">
        <f t="shared" si="70"/>
        <v>0</v>
      </c>
      <c r="M107" s="10">
        <f>IF(OR(L107&lt;=0,K107&gt;Financiamento_EV!$C$7),0,L107*Financiamento_EV!$C$9)</f>
        <v>0</v>
      </c>
      <c r="N107" s="10">
        <f t="shared" si="58"/>
        <v>0</v>
      </c>
      <c r="O107" s="10">
        <f>IF(N107&lt;=0,0,N107*Financiamento_EV!$C$6)</f>
        <v>0</v>
      </c>
      <c r="P107" s="10">
        <f>IF(N107&lt;=0,0,IF(Financiamento_EV!$C$6=0,N107/(Financiamento_EV!$C$7-K107+1),N107*Financiamento_EV!$C$6/(1-(1+Financiamento_EV!$C$6)^(-(Financiamento_EV!$C$7-K107+1)))))</f>
        <v>0</v>
      </c>
      <c r="Q107" s="10">
        <f t="shared" si="59"/>
        <v>0</v>
      </c>
      <c r="R107" s="10">
        <f>IF(N107&lt;=0,0,MIN(IF(ISNUMBER(INDEX(Financiamento_EV!$I$17:$I$136,K107)),MAX(0,INDEX(Financiamento_EV!$I$17:$I$136,K107)),IF(K107&gt;=Financiamento_EV!$C$11,Financiamento_EV!$C$10,0)),MAX(0,N107-Q107)))</f>
        <v>0</v>
      </c>
      <c r="S107" s="10">
        <f t="shared" si="60"/>
        <v>0</v>
      </c>
      <c r="T107" s="10">
        <f t="shared" si="61"/>
        <v>0</v>
      </c>
      <c r="V107">
        <f t="shared" si="71"/>
        <v>73</v>
      </c>
      <c r="W107" s="10">
        <f t="shared" si="72"/>
        <v>0</v>
      </c>
      <c r="X107" s="10">
        <f>IF(OR(W107&lt;=0,V107&gt;Financiamento_EV!$C$7),0,W107*Financiamento_EV!$C$9)</f>
        <v>0</v>
      </c>
      <c r="Y107" s="10">
        <f t="shared" si="62"/>
        <v>0</v>
      </c>
      <c r="Z107" s="10">
        <f>IF(Y107&lt;=0,0,Y107*Financiamento_EV!$C$6)</f>
        <v>0</v>
      </c>
      <c r="AA107" s="10">
        <f>IF(Y107&lt;=0,0,IF(Financiamento_EV!$C$6=0,Y107/(Financiamento_EV!$C$7-V107+1),Y107*Financiamento_EV!$C$6/(1-(1+Financiamento_EV!$C$6)^(-(Financiamento_EV!$C$7-V107+1)))))</f>
        <v>0</v>
      </c>
      <c r="AB107" s="10">
        <f t="shared" si="63"/>
        <v>0</v>
      </c>
      <c r="AC107" s="10">
        <f>IF(Y107&lt;=0,0,MIN(IF(ISNUMBER(INDEX(Financiamento_EV!$I$17:$I$136,V107)),MAX(0,INDEX(Financiamento_EV!$I$17:$I$136,V107)),IF(V107&gt;=Financiamento_EV!$C$11,Financiamento_EV!$C$10,0)),MAX(0,Y107-AB107)))</f>
        <v>0</v>
      </c>
      <c r="AD107" s="10">
        <f>IF(OR(Y107&lt;=0,V107&lt;Financiamento_EV!$C$11),0,MIN(MAX(0,Financiamento_EV!$F$5-AA107),MAX(0,Y107-AB107-AC107)))</f>
        <v>0</v>
      </c>
      <c r="AE107" s="10">
        <f t="shared" si="64"/>
        <v>0</v>
      </c>
      <c r="AF107" s="10">
        <f t="shared" si="65"/>
        <v>0</v>
      </c>
      <c r="AG107" s="10">
        <f t="shared" si="66"/>
        <v>0</v>
      </c>
    </row>
    <row r="108" spans="1:33">
      <c r="A108">
        <f t="shared" si="67"/>
        <v>74</v>
      </c>
      <c r="B108" s="10">
        <f t="shared" si="68"/>
        <v>0</v>
      </c>
      <c r="C108" s="10">
        <f>IF(OR(B108&lt;=0,A108&gt;Financiamento_EV!$C$7),0,B108*Financiamento_EV!$C$9)</f>
        <v>0</v>
      </c>
      <c r="D108" s="10">
        <f t="shared" si="54"/>
        <v>0</v>
      </c>
      <c r="E108" s="10">
        <f>IF(D108&lt;=0,0,D108*Financiamento_EV!$C$6)</f>
        <v>0</v>
      </c>
      <c r="F108" s="10">
        <f>IF(D108&lt;=0,0,IF(Financiamento_EV!$C$6=0,D108/(Financiamento_EV!$C$7-A108+1),D108*Financiamento_EV!$C$6/(1-(1+Financiamento_EV!$C$6)^(-(Financiamento_EV!$C$7-A108+1)))))</f>
        <v>0</v>
      </c>
      <c r="G108" s="10">
        <f t="shared" si="55"/>
        <v>0</v>
      </c>
      <c r="H108" s="10">
        <f t="shared" si="56"/>
        <v>0</v>
      </c>
      <c r="I108" s="10">
        <f t="shared" si="57"/>
        <v>0</v>
      </c>
      <c r="K108">
        <f t="shared" si="69"/>
        <v>74</v>
      </c>
      <c r="L108" s="10">
        <f t="shared" si="70"/>
        <v>0</v>
      </c>
      <c r="M108" s="10">
        <f>IF(OR(L108&lt;=0,K108&gt;Financiamento_EV!$C$7),0,L108*Financiamento_EV!$C$9)</f>
        <v>0</v>
      </c>
      <c r="N108" s="10">
        <f t="shared" si="58"/>
        <v>0</v>
      </c>
      <c r="O108" s="10">
        <f>IF(N108&lt;=0,0,N108*Financiamento_EV!$C$6)</f>
        <v>0</v>
      </c>
      <c r="P108" s="10">
        <f>IF(N108&lt;=0,0,IF(Financiamento_EV!$C$6=0,N108/(Financiamento_EV!$C$7-K108+1),N108*Financiamento_EV!$C$6/(1-(1+Financiamento_EV!$C$6)^(-(Financiamento_EV!$C$7-K108+1)))))</f>
        <v>0</v>
      </c>
      <c r="Q108" s="10">
        <f t="shared" si="59"/>
        <v>0</v>
      </c>
      <c r="R108" s="10">
        <f>IF(N108&lt;=0,0,MIN(IF(ISNUMBER(INDEX(Financiamento_EV!$I$17:$I$136,K108)),MAX(0,INDEX(Financiamento_EV!$I$17:$I$136,K108)),IF(K108&gt;=Financiamento_EV!$C$11,Financiamento_EV!$C$10,0)),MAX(0,N108-Q108)))</f>
        <v>0</v>
      </c>
      <c r="S108" s="10">
        <f t="shared" si="60"/>
        <v>0</v>
      </c>
      <c r="T108" s="10">
        <f t="shared" si="61"/>
        <v>0</v>
      </c>
      <c r="V108">
        <f t="shared" si="71"/>
        <v>74</v>
      </c>
      <c r="W108" s="10">
        <f t="shared" si="72"/>
        <v>0</v>
      </c>
      <c r="X108" s="10">
        <f>IF(OR(W108&lt;=0,V108&gt;Financiamento_EV!$C$7),0,W108*Financiamento_EV!$C$9)</f>
        <v>0</v>
      </c>
      <c r="Y108" s="10">
        <f t="shared" si="62"/>
        <v>0</v>
      </c>
      <c r="Z108" s="10">
        <f>IF(Y108&lt;=0,0,Y108*Financiamento_EV!$C$6)</f>
        <v>0</v>
      </c>
      <c r="AA108" s="10">
        <f>IF(Y108&lt;=0,0,IF(Financiamento_EV!$C$6=0,Y108/(Financiamento_EV!$C$7-V108+1),Y108*Financiamento_EV!$C$6/(1-(1+Financiamento_EV!$C$6)^(-(Financiamento_EV!$C$7-V108+1)))))</f>
        <v>0</v>
      </c>
      <c r="AB108" s="10">
        <f t="shared" si="63"/>
        <v>0</v>
      </c>
      <c r="AC108" s="10">
        <f>IF(Y108&lt;=0,0,MIN(IF(ISNUMBER(INDEX(Financiamento_EV!$I$17:$I$136,V108)),MAX(0,INDEX(Financiamento_EV!$I$17:$I$136,V108)),IF(V108&gt;=Financiamento_EV!$C$11,Financiamento_EV!$C$10,0)),MAX(0,Y108-AB108)))</f>
        <v>0</v>
      </c>
      <c r="AD108" s="10">
        <f>IF(OR(Y108&lt;=0,V108&lt;Financiamento_EV!$C$11),0,MIN(MAX(0,Financiamento_EV!$F$5-AA108),MAX(0,Y108-AB108-AC108)))</f>
        <v>0</v>
      </c>
      <c r="AE108" s="10">
        <f t="shared" si="64"/>
        <v>0</v>
      </c>
      <c r="AF108" s="10">
        <f t="shared" si="65"/>
        <v>0</v>
      </c>
      <c r="AG108" s="10">
        <f t="shared" si="66"/>
        <v>0</v>
      </c>
    </row>
    <row r="109" spans="1:33">
      <c r="A109">
        <f t="shared" si="67"/>
        <v>75</v>
      </c>
      <c r="B109" s="10">
        <f t="shared" si="68"/>
        <v>0</v>
      </c>
      <c r="C109" s="10">
        <f>IF(OR(B109&lt;=0,A109&gt;Financiamento_EV!$C$7),0,B109*Financiamento_EV!$C$9)</f>
        <v>0</v>
      </c>
      <c r="D109" s="10">
        <f t="shared" si="54"/>
        <v>0</v>
      </c>
      <c r="E109" s="10">
        <f>IF(D109&lt;=0,0,D109*Financiamento_EV!$C$6)</f>
        <v>0</v>
      </c>
      <c r="F109" s="10">
        <f>IF(D109&lt;=0,0,IF(Financiamento_EV!$C$6=0,D109/(Financiamento_EV!$C$7-A109+1),D109*Financiamento_EV!$C$6/(1-(1+Financiamento_EV!$C$6)^(-(Financiamento_EV!$C$7-A109+1)))))</f>
        <v>0</v>
      </c>
      <c r="G109" s="10">
        <f t="shared" si="55"/>
        <v>0</v>
      </c>
      <c r="H109" s="10">
        <f t="shared" si="56"/>
        <v>0</v>
      </c>
      <c r="I109" s="10">
        <f t="shared" si="57"/>
        <v>0</v>
      </c>
      <c r="K109">
        <f t="shared" si="69"/>
        <v>75</v>
      </c>
      <c r="L109" s="10">
        <f t="shared" si="70"/>
        <v>0</v>
      </c>
      <c r="M109" s="10">
        <f>IF(OR(L109&lt;=0,K109&gt;Financiamento_EV!$C$7),0,L109*Financiamento_EV!$C$9)</f>
        <v>0</v>
      </c>
      <c r="N109" s="10">
        <f t="shared" si="58"/>
        <v>0</v>
      </c>
      <c r="O109" s="10">
        <f>IF(N109&lt;=0,0,N109*Financiamento_EV!$C$6)</f>
        <v>0</v>
      </c>
      <c r="P109" s="10">
        <f>IF(N109&lt;=0,0,IF(Financiamento_EV!$C$6=0,N109/(Financiamento_EV!$C$7-K109+1),N109*Financiamento_EV!$C$6/(1-(1+Financiamento_EV!$C$6)^(-(Financiamento_EV!$C$7-K109+1)))))</f>
        <v>0</v>
      </c>
      <c r="Q109" s="10">
        <f t="shared" si="59"/>
        <v>0</v>
      </c>
      <c r="R109" s="10">
        <f>IF(N109&lt;=0,0,MIN(IF(ISNUMBER(INDEX(Financiamento_EV!$I$17:$I$136,K109)),MAX(0,INDEX(Financiamento_EV!$I$17:$I$136,K109)),IF(K109&gt;=Financiamento_EV!$C$11,Financiamento_EV!$C$10,0)),MAX(0,N109-Q109)))</f>
        <v>0</v>
      </c>
      <c r="S109" s="10">
        <f t="shared" si="60"/>
        <v>0</v>
      </c>
      <c r="T109" s="10">
        <f t="shared" si="61"/>
        <v>0</v>
      </c>
      <c r="V109">
        <f t="shared" si="71"/>
        <v>75</v>
      </c>
      <c r="W109" s="10">
        <f t="shared" si="72"/>
        <v>0</v>
      </c>
      <c r="X109" s="10">
        <f>IF(OR(W109&lt;=0,V109&gt;Financiamento_EV!$C$7),0,W109*Financiamento_EV!$C$9)</f>
        <v>0</v>
      </c>
      <c r="Y109" s="10">
        <f t="shared" si="62"/>
        <v>0</v>
      </c>
      <c r="Z109" s="10">
        <f>IF(Y109&lt;=0,0,Y109*Financiamento_EV!$C$6)</f>
        <v>0</v>
      </c>
      <c r="AA109" s="10">
        <f>IF(Y109&lt;=0,0,IF(Financiamento_EV!$C$6=0,Y109/(Financiamento_EV!$C$7-V109+1),Y109*Financiamento_EV!$C$6/(1-(1+Financiamento_EV!$C$6)^(-(Financiamento_EV!$C$7-V109+1)))))</f>
        <v>0</v>
      </c>
      <c r="AB109" s="10">
        <f t="shared" si="63"/>
        <v>0</v>
      </c>
      <c r="AC109" s="10">
        <f>IF(Y109&lt;=0,0,MIN(IF(ISNUMBER(INDEX(Financiamento_EV!$I$17:$I$136,V109)),MAX(0,INDEX(Financiamento_EV!$I$17:$I$136,V109)),IF(V109&gt;=Financiamento_EV!$C$11,Financiamento_EV!$C$10,0)),MAX(0,Y109-AB109)))</f>
        <v>0</v>
      </c>
      <c r="AD109" s="10">
        <f>IF(OR(Y109&lt;=0,V109&lt;Financiamento_EV!$C$11),0,MIN(MAX(0,Financiamento_EV!$F$5-AA109),MAX(0,Y109-AB109-AC109)))</f>
        <v>0</v>
      </c>
      <c r="AE109" s="10">
        <f t="shared" si="64"/>
        <v>0</v>
      </c>
      <c r="AF109" s="10">
        <f t="shared" si="65"/>
        <v>0</v>
      </c>
      <c r="AG109" s="10">
        <f t="shared" si="66"/>
        <v>0</v>
      </c>
    </row>
    <row r="110" spans="1:33">
      <c r="A110">
        <f t="shared" si="67"/>
        <v>76</v>
      </c>
      <c r="B110" s="10">
        <f t="shared" si="68"/>
        <v>0</v>
      </c>
      <c r="C110" s="10">
        <f>IF(OR(B110&lt;=0,A110&gt;Financiamento_EV!$C$7),0,B110*Financiamento_EV!$C$9)</f>
        <v>0</v>
      </c>
      <c r="D110" s="10">
        <f t="shared" si="54"/>
        <v>0</v>
      </c>
      <c r="E110" s="10">
        <f>IF(D110&lt;=0,0,D110*Financiamento_EV!$C$6)</f>
        <v>0</v>
      </c>
      <c r="F110" s="10">
        <f>IF(D110&lt;=0,0,IF(Financiamento_EV!$C$6=0,D110/(Financiamento_EV!$C$7-A110+1),D110*Financiamento_EV!$C$6/(1-(1+Financiamento_EV!$C$6)^(-(Financiamento_EV!$C$7-A110+1)))))</f>
        <v>0</v>
      </c>
      <c r="G110" s="10">
        <f t="shared" si="55"/>
        <v>0</v>
      </c>
      <c r="H110" s="10">
        <f t="shared" si="56"/>
        <v>0</v>
      </c>
      <c r="I110" s="10">
        <f t="shared" si="57"/>
        <v>0</v>
      </c>
      <c r="K110">
        <f t="shared" si="69"/>
        <v>76</v>
      </c>
      <c r="L110" s="10">
        <f t="shared" si="70"/>
        <v>0</v>
      </c>
      <c r="M110" s="10">
        <f>IF(OR(L110&lt;=0,K110&gt;Financiamento_EV!$C$7),0,L110*Financiamento_EV!$C$9)</f>
        <v>0</v>
      </c>
      <c r="N110" s="10">
        <f t="shared" si="58"/>
        <v>0</v>
      </c>
      <c r="O110" s="10">
        <f>IF(N110&lt;=0,0,N110*Financiamento_EV!$C$6)</f>
        <v>0</v>
      </c>
      <c r="P110" s="10">
        <f>IF(N110&lt;=0,0,IF(Financiamento_EV!$C$6=0,N110/(Financiamento_EV!$C$7-K110+1),N110*Financiamento_EV!$C$6/(1-(1+Financiamento_EV!$C$6)^(-(Financiamento_EV!$C$7-K110+1)))))</f>
        <v>0</v>
      </c>
      <c r="Q110" s="10">
        <f t="shared" si="59"/>
        <v>0</v>
      </c>
      <c r="R110" s="10">
        <f>IF(N110&lt;=0,0,MIN(IF(ISNUMBER(INDEX(Financiamento_EV!$I$17:$I$136,K110)),MAX(0,INDEX(Financiamento_EV!$I$17:$I$136,K110)),IF(K110&gt;=Financiamento_EV!$C$11,Financiamento_EV!$C$10,0)),MAX(0,N110-Q110)))</f>
        <v>0</v>
      </c>
      <c r="S110" s="10">
        <f t="shared" si="60"/>
        <v>0</v>
      </c>
      <c r="T110" s="10">
        <f t="shared" si="61"/>
        <v>0</v>
      </c>
      <c r="V110">
        <f t="shared" si="71"/>
        <v>76</v>
      </c>
      <c r="W110" s="10">
        <f t="shared" si="72"/>
        <v>0</v>
      </c>
      <c r="X110" s="10">
        <f>IF(OR(W110&lt;=0,V110&gt;Financiamento_EV!$C$7),0,W110*Financiamento_EV!$C$9)</f>
        <v>0</v>
      </c>
      <c r="Y110" s="10">
        <f t="shared" si="62"/>
        <v>0</v>
      </c>
      <c r="Z110" s="10">
        <f>IF(Y110&lt;=0,0,Y110*Financiamento_EV!$C$6)</f>
        <v>0</v>
      </c>
      <c r="AA110" s="10">
        <f>IF(Y110&lt;=0,0,IF(Financiamento_EV!$C$6=0,Y110/(Financiamento_EV!$C$7-V110+1),Y110*Financiamento_EV!$C$6/(1-(1+Financiamento_EV!$C$6)^(-(Financiamento_EV!$C$7-V110+1)))))</f>
        <v>0</v>
      </c>
      <c r="AB110" s="10">
        <f t="shared" si="63"/>
        <v>0</v>
      </c>
      <c r="AC110" s="10">
        <f>IF(Y110&lt;=0,0,MIN(IF(ISNUMBER(INDEX(Financiamento_EV!$I$17:$I$136,V110)),MAX(0,INDEX(Financiamento_EV!$I$17:$I$136,V110)),IF(V110&gt;=Financiamento_EV!$C$11,Financiamento_EV!$C$10,0)),MAX(0,Y110-AB110)))</f>
        <v>0</v>
      </c>
      <c r="AD110" s="10">
        <f>IF(OR(Y110&lt;=0,V110&lt;Financiamento_EV!$C$11),0,MIN(MAX(0,Financiamento_EV!$F$5-AA110),MAX(0,Y110-AB110-AC110)))</f>
        <v>0</v>
      </c>
      <c r="AE110" s="10">
        <f t="shared" si="64"/>
        <v>0</v>
      </c>
      <c r="AF110" s="10">
        <f t="shared" si="65"/>
        <v>0</v>
      </c>
      <c r="AG110" s="10">
        <f t="shared" si="66"/>
        <v>0</v>
      </c>
    </row>
    <row r="111" spans="1:33">
      <c r="A111">
        <f t="shared" si="67"/>
        <v>77</v>
      </c>
      <c r="B111" s="10">
        <f t="shared" si="68"/>
        <v>0</v>
      </c>
      <c r="C111" s="10">
        <f>IF(OR(B111&lt;=0,A111&gt;Financiamento_EV!$C$7),0,B111*Financiamento_EV!$C$9)</f>
        <v>0</v>
      </c>
      <c r="D111" s="10">
        <f t="shared" si="54"/>
        <v>0</v>
      </c>
      <c r="E111" s="10">
        <f>IF(D111&lt;=0,0,D111*Financiamento_EV!$C$6)</f>
        <v>0</v>
      </c>
      <c r="F111" s="10">
        <f>IF(D111&lt;=0,0,IF(Financiamento_EV!$C$6=0,D111/(Financiamento_EV!$C$7-A111+1),D111*Financiamento_EV!$C$6/(1-(1+Financiamento_EV!$C$6)^(-(Financiamento_EV!$C$7-A111+1)))))</f>
        <v>0</v>
      </c>
      <c r="G111" s="10">
        <f t="shared" si="55"/>
        <v>0</v>
      </c>
      <c r="H111" s="10">
        <f t="shared" si="56"/>
        <v>0</v>
      </c>
      <c r="I111" s="10">
        <f t="shared" si="57"/>
        <v>0</v>
      </c>
      <c r="K111">
        <f t="shared" si="69"/>
        <v>77</v>
      </c>
      <c r="L111" s="10">
        <f t="shared" si="70"/>
        <v>0</v>
      </c>
      <c r="M111" s="10">
        <f>IF(OR(L111&lt;=0,K111&gt;Financiamento_EV!$C$7),0,L111*Financiamento_EV!$C$9)</f>
        <v>0</v>
      </c>
      <c r="N111" s="10">
        <f t="shared" si="58"/>
        <v>0</v>
      </c>
      <c r="O111" s="10">
        <f>IF(N111&lt;=0,0,N111*Financiamento_EV!$C$6)</f>
        <v>0</v>
      </c>
      <c r="P111" s="10">
        <f>IF(N111&lt;=0,0,IF(Financiamento_EV!$C$6=0,N111/(Financiamento_EV!$C$7-K111+1),N111*Financiamento_EV!$C$6/(1-(1+Financiamento_EV!$C$6)^(-(Financiamento_EV!$C$7-K111+1)))))</f>
        <v>0</v>
      </c>
      <c r="Q111" s="10">
        <f t="shared" si="59"/>
        <v>0</v>
      </c>
      <c r="R111" s="10">
        <f>IF(N111&lt;=0,0,MIN(IF(ISNUMBER(INDEX(Financiamento_EV!$I$17:$I$136,K111)),MAX(0,INDEX(Financiamento_EV!$I$17:$I$136,K111)),IF(K111&gt;=Financiamento_EV!$C$11,Financiamento_EV!$C$10,0)),MAX(0,N111-Q111)))</f>
        <v>0</v>
      </c>
      <c r="S111" s="10">
        <f t="shared" si="60"/>
        <v>0</v>
      </c>
      <c r="T111" s="10">
        <f t="shared" si="61"/>
        <v>0</v>
      </c>
      <c r="V111">
        <f t="shared" si="71"/>
        <v>77</v>
      </c>
      <c r="W111" s="10">
        <f t="shared" si="72"/>
        <v>0</v>
      </c>
      <c r="X111" s="10">
        <f>IF(OR(W111&lt;=0,V111&gt;Financiamento_EV!$C$7),0,W111*Financiamento_EV!$C$9)</f>
        <v>0</v>
      </c>
      <c r="Y111" s="10">
        <f t="shared" si="62"/>
        <v>0</v>
      </c>
      <c r="Z111" s="10">
        <f>IF(Y111&lt;=0,0,Y111*Financiamento_EV!$C$6)</f>
        <v>0</v>
      </c>
      <c r="AA111" s="10">
        <f>IF(Y111&lt;=0,0,IF(Financiamento_EV!$C$6=0,Y111/(Financiamento_EV!$C$7-V111+1),Y111*Financiamento_EV!$C$6/(1-(1+Financiamento_EV!$C$6)^(-(Financiamento_EV!$C$7-V111+1)))))</f>
        <v>0</v>
      </c>
      <c r="AB111" s="10">
        <f t="shared" si="63"/>
        <v>0</v>
      </c>
      <c r="AC111" s="10">
        <f>IF(Y111&lt;=0,0,MIN(IF(ISNUMBER(INDEX(Financiamento_EV!$I$17:$I$136,V111)),MAX(0,INDEX(Financiamento_EV!$I$17:$I$136,V111)),IF(V111&gt;=Financiamento_EV!$C$11,Financiamento_EV!$C$10,0)),MAX(0,Y111-AB111)))</f>
        <v>0</v>
      </c>
      <c r="AD111" s="10">
        <f>IF(OR(Y111&lt;=0,V111&lt;Financiamento_EV!$C$11),0,MIN(MAX(0,Financiamento_EV!$F$5-AA111),MAX(0,Y111-AB111-AC111)))</f>
        <v>0</v>
      </c>
      <c r="AE111" s="10">
        <f t="shared" si="64"/>
        <v>0</v>
      </c>
      <c r="AF111" s="10">
        <f t="shared" si="65"/>
        <v>0</v>
      </c>
      <c r="AG111" s="10">
        <f t="shared" si="66"/>
        <v>0</v>
      </c>
    </row>
    <row r="112" spans="1:33">
      <c r="A112">
        <f t="shared" si="67"/>
        <v>78</v>
      </c>
      <c r="B112" s="10">
        <f t="shared" si="68"/>
        <v>0</v>
      </c>
      <c r="C112" s="10">
        <f>IF(OR(B112&lt;=0,A112&gt;Financiamento_EV!$C$7),0,B112*Financiamento_EV!$C$9)</f>
        <v>0</v>
      </c>
      <c r="D112" s="10">
        <f t="shared" si="54"/>
        <v>0</v>
      </c>
      <c r="E112" s="10">
        <f>IF(D112&lt;=0,0,D112*Financiamento_EV!$C$6)</f>
        <v>0</v>
      </c>
      <c r="F112" s="10">
        <f>IF(D112&lt;=0,0,IF(Financiamento_EV!$C$6=0,D112/(Financiamento_EV!$C$7-A112+1),D112*Financiamento_EV!$C$6/(1-(1+Financiamento_EV!$C$6)^(-(Financiamento_EV!$C$7-A112+1)))))</f>
        <v>0</v>
      </c>
      <c r="G112" s="10">
        <f t="shared" si="55"/>
        <v>0</v>
      </c>
      <c r="H112" s="10">
        <f t="shared" si="56"/>
        <v>0</v>
      </c>
      <c r="I112" s="10">
        <f t="shared" si="57"/>
        <v>0</v>
      </c>
      <c r="K112">
        <f t="shared" si="69"/>
        <v>78</v>
      </c>
      <c r="L112" s="10">
        <f t="shared" si="70"/>
        <v>0</v>
      </c>
      <c r="M112" s="10">
        <f>IF(OR(L112&lt;=0,K112&gt;Financiamento_EV!$C$7),0,L112*Financiamento_EV!$C$9)</f>
        <v>0</v>
      </c>
      <c r="N112" s="10">
        <f t="shared" si="58"/>
        <v>0</v>
      </c>
      <c r="O112" s="10">
        <f>IF(N112&lt;=0,0,N112*Financiamento_EV!$C$6)</f>
        <v>0</v>
      </c>
      <c r="P112" s="10">
        <f>IF(N112&lt;=0,0,IF(Financiamento_EV!$C$6=0,N112/(Financiamento_EV!$C$7-K112+1),N112*Financiamento_EV!$C$6/(1-(1+Financiamento_EV!$C$6)^(-(Financiamento_EV!$C$7-K112+1)))))</f>
        <v>0</v>
      </c>
      <c r="Q112" s="10">
        <f t="shared" si="59"/>
        <v>0</v>
      </c>
      <c r="R112" s="10">
        <f>IF(N112&lt;=0,0,MIN(IF(ISNUMBER(INDEX(Financiamento_EV!$I$17:$I$136,K112)),MAX(0,INDEX(Financiamento_EV!$I$17:$I$136,K112)),IF(K112&gt;=Financiamento_EV!$C$11,Financiamento_EV!$C$10,0)),MAX(0,N112-Q112)))</f>
        <v>0</v>
      </c>
      <c r="S112" s="10">
        <f t="shared" si="60"/>
        <v>0</v>
      </c>
      <c r="T112" s="10">
        <f t="shared" si="61"/>
        <v>0</v>
      </c>
      <c r="V112">
        <f t="shared" si="71"/>
        <v>78</v>
      </c>
      <c r="W112" s="10">
        <f t="shared" si="72"/>
        <v>0</v>
      </c>
      <c r="X112" s="10">
        <f>IF(OR(W112&lt;=0,V112&gt;Financiamento_EV!$C$7),0,W112*Financiamento_EV!$C$9)</f>
        <v>0</v>
      </c>
      <c r="Y112" s="10">
        <f t="shared" si="62"/>
        <v>0</v>
      </c>
      <c r="Z112" s="10">
        <f>IF(Y112&lt;=0,0,Y112*Financiamento_EV!$C$6)</f>
        <v>0</v>
      </c>
      <c r="AA112" s="10">
        <f>IF(Y112&lt;=0,0,IF(Financiamento_EV!$C$6=0,Y112/(Financiamento_EV!$C$7-V112+1),Y112*Financiamento_EV!$C$6/(1-(1+Financiamento_EV!$C$6)^(-(Financiamento_EV!$C$7-V112+1)))))</f>
        <v>0</v>
      </c>
      <c r="AB112" s="10">
        <f t="shared" si="63"/>
        <v>0</v>
      </c>
      <c r="AC112" s="10">
        <f>IF(Y112&lt;=0,0,MIN(IF(ISNUMBER(INDEX(Financiamento_EV!$I$17:$I$136,V112)),MAX(0,INDEX(Financiamento_EV!$I$17:$I$136,V112)),IF(V112&gt;=Financiamento_EV!$C$11,Financiamento_EV!$C$10,0)),MAX(0,Y112-AB112)))</f>
        <v>0</v>
      </c>
      <c r="AD112" s="10">
        <f>IF(OR(Y112&lt;=0,V112&lt;Financiamento_EV!$C$11),0,MIN(MAX(0,Financiamento_EV!$F$5-AA112),MAX(0,Y112-AB112-AC112)))</f>
        <v>0</v>
      </c>
      <c r="AE112" s="10">
        <f t="shared" si="64"/>
        <v>0</v>
      </c>
      <c r="AF112" s="10">
        <f t="shared" si="65"/>
        <v>0</v>
      </c>
      <c r="AG112" s="10">
        <f t="shared" si="66"/>
        <v>0</v>
      </c>
    </row>
    <row r="113" spans="1:33">
      <c r="A113">
        <f t="shared" si="67"/>
        <v>79</v>
      </c>
      <c r="B113" s="10">
        <f t="shared" si="68"/>
        <v>0</v>
      </c>
      <c r="C113" s="10">
        <f>IF(OR(B113&lt;=0,A113&gt;Financiamento_EV!$C$7),0,B113*Financiamento_EV!$C$9)</f>
        <v>0</v>
      </c>
      <c r="D113" s="10">
        <f t="shared" si="54"/>
        <v>0</v>
      </c>
      <c r="E113" s="10">
        <f>IF(D113&lt;=0,0,D113*Financiamento_EV!$C$6)</f>
        <v>0</v>
      </c>
      <c r="F113" s="10">
        <f>IF(D113&lt;=0,0,IF(Financiamento_EV!$C$6=0,D113/(Financiamento_EV!$C$7-A113+1),D113*Financiamento_EV!$C$6/(1-(1+Financiamento_EV!$C$6)^(-(Financiamento_EV!$C$7-A113+1)))))</f>
        <v>0</v>
      </c>
      <c r="G113" s="10">
        <f t="shared" si="55"/>
        <v>0</v>
      </c>
      <c r="H113" s="10">
        <f t="shared" si="56"/>
        <v>0</v>
      </c>
      <c r="I113" s="10">
        <f t="shared" si="57"/>
        <v>0</v>
      </c>
      <c r="K113">
        <f t="shared" si="69"/>
        <v>79</v>
      </c>
      <c r="L113" s="10">
        <f t="shared" si="70"/>
        <v>0</v>
      </c>
      <c r="M113" s="10">
        <f>IF(OR(L113&lt;=0,K113&gt;Financiamento_EV!$C$7),0,L113*Financiamento_EV!$C$9)</f>
        <v>0</v>
      </c>
      <c r="N113" s="10">
        <f t="shared" si="58"/>
        <v>0</v>
      </c>
      <c r="O113" s="10">
        <f>IF(N113&lt;=0,0,N113*Financiamento_EV!$C$6)</f>
        <v>0</v>
      </c>
      <c r="P113" s="10">
        <f>IF(N113&lt;=0,0,IF(Financiamento_EV!$C$6=0,N113/(Financiamento_EV!$C$7-K113+1),N113*Financiamento_EV!$C$6/(1-(1+Financiamento_EV!$C$6)^(-(Financiamento_EV!$C$7-K113+1)))))</f>
        <v>0</v>
      </c>
      <c r="Q113" s="10">
        <f t="shared" si="59"/>
        <v>0</v>
      </c>
      <c r="R113" s="10">
        <f>IF(N113&lt;=0,0,MIN(IF(ISNUMBER(INDEX(Financiamento_EV!$I$17:$I$136,K113)),MAX(0,INDEX(Financiamento_EV!$I$17:$I$136,K113)),IF(K113&gt;=Financiamento_EV!$C$11,Financiamento_EV!$C$10,0)),MAX(0,N113-Q113)))</f>
        <v>0</v>
      </c>
      <c r="S113" s="10">
        <f t="shared" si="60"/>
        <v>0</v>
      </c>
      <c r="T113" s="10">
        <f t="shared" si="61"/>
        <v>0</v>
      </c>
      <c r="V113">
        <f t="shared" si="71"/>
        <v>79</v>
      </c>
      <c r="W113" s="10">
        <f t="shared" si="72"/>
        <v>0</v>
      </c>
      <c r="X113" s="10">
        <f>IF(OR(W113&lt;=0,V113&gt;Financiamento_EV!$C$7),0,W113*Financiamento_EV!$C$9)</f>
        <v>0</v>
      </c>
      <c r="Y113" s="10">
        <f t="shared" si="62"/>
        <v>0</v>
      </c>
      <c r="Z113" s="10">
        <f>IF(Y113&lt;=0,0,Y113*Financiamento_EV!$C$6)</f>
        <v>0</v>
      </c>
      <c r="AA113" s="10">
        <f>IF(Y113&lt;=0,0,IF(Financiamento_EV!$C$6=0,Y113/(Financiamento_EV!$C$7-V113+1),Y113*Financiamento_EV!$C$6/(1-(1+Financiamento_EV!$C$6)^(-(Financiamento_EV!$C$7-V113+1)))))</f>
        <v>0</v>
      </c>
      <c r="AB113" s="10">
        <f t="shared" si="63"/>
        <v>0</v>
      </c>
      <c r="AC113" s="10">
        <f>IF(Y113&lt;=0,0,MIN(IF(ISNUMBER(INDEX(Financiamento_EV!$I$17:$I$136,V113)),MAX(0,INDEX(Financiamento_EV!$I$17:$I$136,V113)),IF(V113&gt;=Financiamento_EV!$C$11,Financiamento_EV!$C$10,0)),MAX(0,Y113-AB113)))</f>
        <v>0</v>
      </c>
      <c r="AD113" s="10">
        <f>IF(OR(Y113&lt;=0,V113&lt;Financiamento_EV!$C$11),0,MIN(MAX(0,Financiamento_EV!$F$5-AA113),MAX(0,Y113-AB113-AC113)))</f>
        <v>0</v>
      </c>
      <c r="AE113" s="10">
        <f t="shared" si="64"/>
        <v>0</v>
      </c>
      <c r="AF113" s="10">
        <f t="shared" si="65"/>
        <v>0</v>
      </c>
      <c r="AG113" s="10">
        <f t="shared" si="66"/>
        <v>0</v>
      </c>
    </row>
    <row r="114" spans="1:33">
      <c r="A114">
        <f t="shared" si="67"/>
        <v>80</v>
      </c>
      <c r="B114" s="10">
        <f t="shared" si="68"/>
        <v>0</v>
      </c>
      <c r="C114" s="10">
        <f>IF(OR(B114&lt;=0,A114&gt;Financiamento_EV!$C$7),0,B114*Financiamento_EV!$C$9)</f>
        <v>0</v>
      </c>
      <c r="D114" s="10">
        <f t="shared" si="54"/>
        <v>0</v>
      </c>
      <c r="E114" s="10">
        <f>IF(D114&lt;=0,0,D114*Financiamento_EV!$C$6)</f>
        <v>0</v>
      </c>
      <c r="F114" s="10">
        <f>IF(D114&lt;=0,0,IF(Financiamento_EV!$C$6=0,D114/(Financiamento_EV!$C$7-A114+1),D114*Financiamento_EV!$C$6/(1-(1+Financiamento_EV!$C$6)^(-(Financiamento_EV!$C$7-A114+1)))))</f>
        <v>0</v>
      </c>
      <c r="G114" s="10">
        <f t="shared" si="55"/>
        <v>0</v>
      </c>
      <c r="H114" s="10">
        <f t="shared" si="56"/>
        <v>0</v>
      </c>
      <c r="I114" s="10">
        <f t="shared" si="57"/>
        <v>0</v>
      </c>
      <c r="K114">
        <f t="shared" si="69"/>
        <v>80</v>
      </c>
      <c r="L114" s="10">
        <f t="shared" si="70"/>
        <v>0</v>
      </c>
      <c r="M114" s="10">
        <f>IF(OR(L114&lt;=0,K114&gt;Financiamento_EV!$C$7),0,L114*Financiamento_EV!$C$9)</f>
        <v>0</v>
      </c>
      <c r="N114" s="10">
        <f t="shared" si="58"/>
        <v>0</v>
      </c>
      <c r="O114" s="10">
        <f>IF(N114&lt;=0,0,N114*Financiamento_EV!$C$6)</f>
        <v>0</v>
      </c>
      <c r="P114" s="10">
        <f>IF(N114&lt;=0,0,IF(Financiamento_EV!$C$6=0,N114/(Financiamento_EV!$C$7-K114+1),N114*Financiamento_EV!$C$6/(1-(1+Financiamento_EV!$C$6)^(-(Financiamento_EV!$C$7-K114+1)))))</f>
        <v>0</v>
      </c>
      <c r="Q114" s="10">
        <f t="shared" si="59"/>
        <v>0</v>
      </c>
      <c r="R114" s="10">
        <f>IF(N114&lt;=0,0,MIN(IF(ISNUMBER(INDEX(Financiamento_EV!$I$17:$I$136,K114)),MAX(0,INDEX(Financiamento_EV!$I$17:$I$136,K114)),IF(K114&gt;=Financiamento_EV!$C$11,Financiamento_EV!$C$10,0)),MAX(0,N114-Q114)))</f>
        <v>0</v>
      </c>
      <c r="S114" s="10">
        <f t="shared" si="60"/>
        <v>0</v>
      </c>
      <c r="T114" s="10">
        <f t="shared" si="61"/>
        <v>0</v>
      </c>
      <c r="V114">
        <f t="shared" si="71"/>
        <v>80</v>
      </c>
      <c r="W114" s="10">
        <f t="shared" si="72"/>
        <v>0</v>
      </c>
      <c r="X114" s="10">
        <f>IF(OR(W114&lt;=0,V114&gt;Financiamento_EV!$C$7),0,W114*Financiamento_EV!$C$9)</f>
        <v>0</v>
      </c>
      <c r="Y114" s="10">
        <f t="shared" si="62"/>
        <v>0</v>
      </c>
      <c r="Z114" s="10">
        <f>IF(Y114&lt;=0,0,Y114*Financiamento_EV!$C$6)</f>
        <v>0</v>
      </c>
      <c r="AA114" s="10">
        <f>IF(Y114&lt;=0,0,IF(Financiamento_EV!$C$6=0,Y114/(Financiamento_EV!$C$7-V114+1),Y114*Financiamento_EV!$C$6/(1-(1+Financiamento_EV!$C$6)^(-(Financiamento_EV!$C$7-V114+1)))))</f>
        <v>0</v>
      </c>
      <c r="AB114" s="10">
        <f t="shared" si="63"/>
        <v>0</v>
      </c>
      <c r="AC114" s="10">
        <f>IF(Y114&lt;=0,0,MIN(IF(ISNUMBER(INDEX(Financiamento_EV!$I$17:$I$136,V114)),MAX(0,INDEX(Financiamento_EV!$I$17:$I$136,V114)),IF(V114&gt;=Financiamento_EV!$C$11,Financiamento_EV!$C$10,0)),MAX(0,Y114-AB114)))</f>
        <v>0</v>
      </c>
      <c r="AD114" s="10">
        <f>IF(OR(Y114&lt;=0,V114&lt;Financiamento_EV!$C$11),0,MIN(MAX(0,Financiamento_EV!$F$5-AA114),MAX(0,Y114-AB114-AC114)))</f>
        <v>0</v>
      </c>
      <c r="AE114" s="10">
        <f t="shared" si="64"/>
        <v>0</v>
      </c>
      <c r="AF114" s="10">
        <f t="shared" si="65"/>
        <v>0</v>
      </c>
      <c r="AG114" s="10">
        <f t="shared" si="66"/>
        <v>0</v>
      </c>
    </row>
    <row r="115" spans="1:33">
      <c r="A115">
        <f t="shared" si="67"/>
        <v>81</v>
      </c>
      <c r="B115" s="10">
        <f t="shared" si="68"/>
        <v>0</v>
      </c>
      <c r="C115" s="10">
        <f>IF(OR(B115&lt;=0,A115&gt;Financiamento_EV!$C$7),0,B115*Financiamento_EV!$C$9)</f>
        <v>0</v>
      </c>
      <c r="D115" s="10">
        <f t="shared" si="54"/>
        <v>0</v>
      </c>
      <c r="E115" s="10">
        <f>IF(D115&lt;=0,0,D115*Financiamento_EV!$C$6)</f>
        <v>0</v>
      </c>
      <c r="F115" s="10">
        <f>IF(D115&lt;=0,0,IF(Financiamento_EV!$C$6=0,D115/(Financiamento_EV!$C$7-A115+1),D115*Financiamento_EV!$C$6/(1-(1+Financiamento_EV!$C$6)^(-(Financiamento_EV!$C$7-A115+1)))))</f>
        <v>0</v>
      </c>
      <c r="G115" s="10">
        <f t="shared" si="55"/>
        <v>0</v>
      </c>
      <c r="H115" s="10">
        <f t="shared" si="56"/>
        <v>0</v>
      </c>
      <c r="I115" s="10">
        <f t="shared" si="57"/>
        <v>0</v>
      </c>
      <c r="K115">
        <f t="shared" si="69"/>
        <v>81</v>
      </c>
      <c r="L115" s="10">
        <f t="shared" si="70"/>
        <v>0</v>
      </c>
      <c r="M115" s="10">
        <f>IF(OR(L115&lt;=0,K115&gt;Financiamento_EV!$C$7),0,L115*Financiamento_EV!$C$9)</f>
        <v>0</v>
      </c>
      <c r="N115" s="10">
        <f t="shared" si="58"/>
        <v>0</v>
      </c>
      <c r="O115" s="10">
        <f>IF(N115&lt;=0,0,N115*Financiamento_EV!$C$6)</f>
        <v>0</v>
      </c>
      <c r="P115" s="10">
        <f>IF(N115&lt;=0,0,IF(Financiamento_EV!$C$6=0,N115/(Financiamento_EV!$C$7-K115+1),N115*Financiamento_EV!$C$6/(1-(1+Financiamento_EV!$C$6)^(-(Financiamento_EV!$C$7-K115+1)))))</f>
        <v>0</v>
      </c>
      <c r="Q115" s="10">
        <f t="shared" si="59"/>
        <v>0</v>
      </c>
      <c r="R115" s="10">
        <f>IF(N115&lt;=0,0,MIN(IF(ISNUMBER(INDEX(Financiamento_EV!$I$17:$I$136,K115)),MAX(0,INDEX(Financiamento_EV!$I$17:$I$136,K115)),IF(K115&gt;=Financiamento_EV!$C$11,Financiamento_EV!$C$10,0)),MAX(0,N115-Q115)))</f>
        <v>0</v>
      </c>
      <c r="S115" s="10">
        <f t="shared" si="60"/>
        <v>0</v>
      </c>
      <c r="T115" s="10">
        <f t="shared" si="61"/>
        <v>0</v>
      </c>
      <c r="V115">
        <f t="shared" si="71"/>
        <v>81</v>
      </c>
      <c r="W115" s="10">
        <f t="shared" si="72"/>
        <v>0</v>
      </c>
      <c r="X115" s="10">
        <f>IF(OR(W115&lt;=0,V115&gt;Financiamento_EV!$C$7),0,W115*Financiamento_EV!$C$9)</f>
        <v>0</v>
      </c>
      <c r="Y115" s="10">
        <f t="shared" si="62"/>
        <v>0</v>
      </c>
      <c r="Z115" s="10">
        <f>IF(Y115&lt;=0,0,Y115*Financiamento_EV!$C$6)</f>
        <v>0</v>
      </c>
      <c r="AA115" s="10">
        <f>IF(Y115&lt;=0,0,IF(Financiamento_EV!$C$6=0,Y115/(Financiamento_EV!$C$7-V115+1),Y115*Financiamento_EV!$C$6/(1-(1+Financiamento_EV!$C$6)^(-(Financiamento_EV!$C$7-V115+1)))))</f>
        <v>0</v>
      </c>
      <c r="AB115" s="10">
        <f t="shared" si="63"/>
        <v>0</v>
      </c>
      <c r="AC115" s="10">
        <f>IF(Y115&lt;=0,0,MIN(IF(ISNUMBER(INDEX(Financiamento_EV!$I$17:$I$136,V115)),MAX(0,INDEX(Financiamento_EV!$I$17:$I$136,V115)),IF(V115&gt;=Financiamento_EV!$C$11,Financiamento_EV!$C$10,0)),MAX(0,Y115-AB115)))</f>
        <v>0</v>
      </c>
      <c r="AD115" s="10">
        <f>IF(OR(Y115&lt;=0,V115&lt;Financiamento_EV!$C$11),0,MIN(MAX(0,Financiamento_EV!$F$5-AA115),MAX(0,Y115-AB115-AC115)))</f>
        <v>0</v>
      </c>
      <c r="AE115" s="10">
        <f t="shared" si="64"/>
        <v>0</v>
      </c>
      <c r="AF115" s="10">
        <f t="shared" si="65"/>
        <v>0</v>
      </c>
      <c r="AG115" s="10">
        <f t="shared" si="66"/>
        <v>0</v>
      </c>
    </row>
    <row r="116" spans="1:33">
      <c r="A116">
        <f t="shared" si="67"/>
        <v>82</v>
      </c>
      <c r="B116" s="10">
        <f t="shared" si="68"/>
        <v>0</v>
      </c>
      <c r="C116" s="10">
        <f>IF(OR(B116&lt;=0,A116&gt;Financiamento_EV!$C$7),0,B116*Financiamento_EV!$C$9)</f>
        <v>0</v>
      </c>
      <c r="D116" s="10">
        <f t="shared" si="54"/>
        <v>0</v>
      </c>
      <c r="E116" s="10">
        <f>IF(D116&lt;=0,0,D116*Financiamento_EV!$C$6)</f>
        <v>0</v>
      </c>
      <c r="F116" s="10">
        <f>IF(D116&lt;=0,0,IF(Financiamento_EV!$C$6=0,D116/(Financiamento_EV!$C$7-A116+1),D116*Financiamento_EV!$C$6/(1-(1+Financiamento_EV!$C$6)^(-(Financiamento_EV!$C$7-A116+1)))))</f>
        <v>0</v>
      </c>
      <c r="G116" s="10">
        <f t="shared" si="55"/>
        <v>0</v>
      </c>
      <c r="H116" s="10">
        <f t="shared" si="56"/>
        <v>0</v>
      </c>
      <c r="I116" s="10">
        <f t="shared" si="57"/>
        <v>0</v>
      </c>
      <c r="K116">
        <f t="shared" si="69"/>
        <v>82</v>
      </c>
      <c r="L116" s="10">
        <f t="shared" si="70"/>
        <v>0</v>
      </c>
      <c r="M116" s="10">
        <f>IF(OR(L116&lt;=0,K116&gt;Financiamento_EV!$C$7),0,L116*Financiamento_EV!$C$9)</f>
        <v>0</v>
      </c>
      <c r="N116" s="10">
        <f t="shared" si="58"/>
        <v>0</v>
      </c>
      <c r="O116" s="10">
        <f>IF(N116&lt;=0,0,N116*Financiamento_EV!$C$6)</f>
        <v>0</v>
      </c>
      <c r="P116" s="10">
        <f>IF(N116&lt;=0,0,IF(Financiamento_EV!$C$6=0,N116/(Financiamento_EV!$C$7-K116+1),N116*Financiamento_EV!$C$6/(1-(1+Financiamento_EV!$C$6)^(-(Financiamento_EV!$C$7-K116+1)))))</f>
        <v>0</v>
      </c>
      <c r="Q116" s="10">
        <f t="shared" si="59"/>
        <v>0</v>
      </c>
      <c r="R116" s="10">
        <f>IF(N116&lt;=0,0,MIN(IF(ISNUMBER(INDEX(Financiamento_EV!$I$17:$I$136,K116)),MAX(0,INDEX(Financiamento_EV!$I$17:$I$136,K116)),IF(K116&gt;=Financiamento_EV!$C$11,Financiamento_EV!$C$10,0)),MAX(0,N116-Q116)))</f>
        <v>0</v>
      </c>
      <c r="S116" s="10">
        <f t="shared" si="60"/>
        <v>0</v>
      </c>
      <c r="T116" s="10">
        <f t="shared" si="61"/>
        <v>0</v>
      </c>
      <c r="V116">
        <f t="shared" si="71"/>
        <v>82</v>
      </c>
      <c r="W116" s="10">
        <f t="shared" si="72"/>
        <v>0</v>
      </c>
      <c r="X116" s="10">
        <f>IF(OR(W116&lt;=0,V116&gt;Financiamento_EV!$C$7),0,W116*Financiamento_EV!$C$9)</f>
        <v>0</v>
      </c>
      <c r="Y116" s="10">
        <f t="shared" si="62"/>
        <v>0</v>
      </c>
      <c r="Z116" s="10">
        <f>IF(Y116&lt;=0,0,Y116*Financiamento_EV!$C$6)</f>
        <v>0</v>
      </c>
      <c r="AA116" s="10">
        <f>IF(Y116&lt;=0,0,IF(Financiamento_EV!$C$6=0,Y116/(Financiamento_EV!$C$7-V116+1),Y116*Financiamento_EV!$C$6/(1-(1+Financiamento_EV!$C$6)^(-(Financiamento_EV!$C$7-V116+1)))))</f>
        <v>0</v>
      </c>
      <c r="AB116" s="10">
        <f t="shared" si="63"/>
        <v>0</v>
      </c>
      <c r="AC116" s="10">
        <f>IF(Y116&lt;=0,0,MIN(IF(ISNUMBER(INDEX(Financiamento_EV!$I$17:$I$136,V116)),MAX(0,INDEX(Financiamento_EV!$I$17:$I$136,V116)),IF(V116&gt;=Financiamento_EV!$C$11,Financiamento_EV!$C$10,0)),MAX(0,Y116-AB116)))</f>
        <v>0</v>
      </c>
      <c r="AD116" s="10">
        <f>IF(OR(Y116&lt;=0,V116&lt;Financiamento_EV!$C$11),0,MIN(MAX(0,Financiamento_EV!$F$5-AA116),MAX(0,Y116-AB116-AC116)))</f>
        <v>0</v>
      </c>
      <c r="AE116" s="10">
        <f t="shared" si="64"/>
        <v>0</v>
      </c>
      <c r="AF116" s="10">
        <f t="shared" si="65"/>
        <v>0</v>
      </c>
      <c r="AG116" s="10">
        <f t="shared" si="66"/>
        <v>0</v>
      </c>
    </row>
    <row r="117" spans="1:33">
      <c r="A117">
        <f t="shared" si="67"/>
        <v>83</v>
      </c>
      <c r="B117" s="10">
        <f t="shared" si="68"/>
        <v>0</v>
      </c>
      <c r="C117" s="10">
        <f>IF(OR(B117&lt;=0,A117&gt;Financiamento_EV!$C$7),0,B117*Financiamento_EV!$C$9)</f>
        <v>0</v>
      </c>
      <c r="D117" s="10">
        <f t="shared" si="54"/>
        <v>0</v>
      </c>
      <c r="E117" s="10">
        <f>IF(D117&lt;=0,0,D117*Financiamento_EV!$C$6)</f>
        <v>0</v>
      </c>
      <c r="F117" s="10">
        <f>IF(D117&lt;=0,0,IF(Financiamento_EV!$C$6=0,D117/(Financiamento_EV!$C$7-A117+1),D117*Financiamento_EV!$C$6/(1-(1+Financiamento_EV!$C$6)^(-(Financiamento_EV!$C$7-A117+1)))))</f>
        <v>0</v>
      </c>
      <c r="G117" s="10">
        <f t="shared" si="55"/>
        <v>0</v>
      </c>
      <c r="H117" s="10">
        <f t="shared" si="56"/>
        <v>0</v>
      </c>
      <c r="I117" s="10">
        <f t="shared" si="57"/>
        <v>0</v>
      </c>
      <c r="K117">
        <f t="shared" si="69"/>
        <v>83</v>
      </c>
      <c r="L117" s="10">
        <f t="shared" si="70"/>
        <v>0</v>
      </c>
      <c r="M117" s="10">
        <f>IF(OR(L117&lt;=0,K117&gt;Financiamento_EV!$C$7),0,L117*Financiamento_EV!$C$9)</f>
        <v>0</v>
      </c>
      <c r="N117" s="10">
        <f t="shared" si="58"/>
        <v>0</v>
      </c>
      <c r="O117" s="10">
        <f>IF(N117&lt;=0,0,N117*Financiamento_EV!$C$6)</f>
        <v>0</v>
      </c>
      <c r="P117" s="10">
        <f>IF(N117&lt;=0,0,IF(Financiamento_EV!$C$6=0,N117/(Financiamento_EV!$C$7-K117+1),N117*Financiamento_EV!$C$6/(1-(1+Financiamento_EV!$C$6)^(-(Financiamento_EV!$C$7-K117+1)))))</f>
        <v>0</v>
      </c>
      <c r="Q117" s="10">
        <f t="shared" si="59"/>
        <v>0</v>
      </c>
      <c r="R117" s="10">
        <f>IF(N117&lt;=0,0,MIN(IF(ISNUMBER(INDEX(Financiamento_EV!$I$17:$I$136,K117)),MAX(0,INDEX(Financiamento_EV!$I$17:$I$136,K117)),IF(K117&gt;=Financiamento_EV!$C$11,Financiamento_EV!$C$10,0)),MAX(0,N117-Q117)))</f>
        <v>0</v>
      </c>
      <c r="S117" s="10">
        <f t="shared" si="60"/>
        <v>0</v>
      </c>
      <c r="T117" s="10">
        <f t="shared" si="61"/>
        <v>0</v>
      </c>
      <c r="V117">
        <f t="shared" si="71"/>
        <v>83</v>
      </c>
      <c r="W117" s="10">
        <f t="shared" si="72"/>
        <v>0</v>
      </c>
      <c r="X117" s="10">
        <f>IF(OR(W117&lt;=0,V117&gt;Financiamento_EV!$C$7),0,W117*Financiamento_EV!$C$9)</f>
        <v>0</v>
      </c>
      <c r="Y117" s="10">
        <f t="shared" si="62"/>
        <v>0</v>
      </c>
      <c r="Z117" s="10">
        <f>IF(Y117&lt;=0,0,Y117*Financiamento_EV!$C$6)</f>
        <v>0</v>
      </c>
      <c r="AA117" s="10">
        <f>IF(Y117&lt;=0,0,IF(Financiamento_EV!$C$6=0,Y117/(Financiamento_EV!$C$7-V117+1),Y117*Financiamento_EV!$C$6/(1-(1+Financiamento_EV!$C$6)^(-(Financiamento_EV!$C$7-V117+1)))))</f>
        <v>0</v>
      </c>
      <c r="AB117" s="10">
        <f t="shared" si="63"/>
        <v>0</v>
      </c>
      <c r="AC117" s="10">
        <f>IF(Y117&lt;=0,0,MIN(IF(ISNUMBER(INDEX(Financiamento_EV!$I$17:$I$136,V117)),MAX(0,INDEX(Financiamento_EV!$I$17:$I$136,V117)),IF(V117&gt;=Financiamento_EV!$C$11,Financiamento_EV!$C$10,0)),MAX(0,Y117-AB117)))</f>
        <v>0</v>
      </c>
      <c r="AD117" s="10">
        <f>IF(OR(Y117&lt;=0,V117&lt;Financiamento_EV!$C$11),0,MIN(MAX(0,Financiamento_EV!$F$5-AA117),MAX(0,Y117-AB117-AC117)))</f>
        <v>0</v>
      </c>
      <c r="AE117" s="10">
        <f t="shared" si="64"/>
        <v>0</v>
      </c>
      <c r="AF117" s="10">
        <f t="shared" si="65"/>
        <v>0</v>
      </c>
      <c r="AG117" s="10">
        <f t="shared" si="66"/>
        <v>0</v>
      </c>
    </row>
    <row r="118" spans="1:33">
      <c r="A118">
        <f t="shared" si="67"/>
        <v>84</v>
      </c>
      <c r="B118" s="10">
        <f t="shared" si="68"/>
        <v>0</v>
      </c>
      <c r="C118" s="10">
        <f>IF(OR(B118&lt;=0,A118&gt;Financiamento_EV!$C$7),0,B118*Financiamento_EV!$C$9)</f>
        <v>0</v>
      </c>
      <c r="D118" s="10">
        <f t="shared" si="54"/>
        <v>0</v>
      </c>
      <c r="E118" s="10">
        <f>IF(D118&lt;=0,0,D118*Financiamento_EV!$C$6)</f>
        <v>0</v>
      </c>
      <c r="F118" s="10">
        <f>IF(D118&lt;=0,0,IF(Financiamento_EV!$C$6=0,D118/(Financiamento_EV!$C$7-A118+1),D118*Financiamento_EV!$C$6/(1-(1+Financiamento_EV!$C$6)^(-(Financiamento_EV!$C$7-A118+1)))))</f>
        <v>0</v>
      </c>
      <c r="G118" s="10">
        <f t="shared" si="55"/>
        <v>0</v>
      </c>
      <c r="H118" s="10">
        <f t="shared" si="56"/>
        <v>0</v>
      </c>
      <c r="I118" s="10">
        <f t="shared" si="57"/>
        <v>0</v>
      </c>
      <c r="K118">
        <f t="shared" si="69"/>
        <v>84</v>
      </c>
      <c r="L118" s="10">
        <f t="shared" si="70"/>
        <v>0</v>
      </c>
      <c r="M118" s="10">
        <f>IF(OR(L118&lt;=0,K118&gt;Financiamento_EV!$C$7),0,L118*Financiamento_EV!$C$9)</f>
        <v>0</v>
      </c>
      <c r="N118" s="10">
        <f t="shared" si="58"/>
        <v>0</v>
      </c>
      <c r="O118" s="10">
        <f>IF(N118&lt;=0,0,N118*Financiamento_EV!$C$6)</f>
        <v>0</v>
      </c>
      <c r="P118" s="10">
        <f>IF(N118&lt;=0,0,IF(Financiamento_EV!$C$6=0,N118/(Financiamento_EV!$C$7-K118+1),N118*Financiamento_EV!$C$6/(1-(1+Financiamento_EV!$C$6)^(-(Financiamento_EV!$C$7-K118+1)))))</f>
        <v>0</v>
      </c>
      <c r="Q118" s="10">
        <f t="shared" si="59"/>
        <v>0</v>
      </c>
      <c r="R118" s="10">
        <f>IF(N118&lt;=0,0,MIN(IF(ISNUMBER(INDEX(Financiamento_EV!$I$17:$I$136,K118)),MAX(0,INDEX(Financiamento_EV!$I$17:$I$136,K118)),IF(K118&gt;=Financiamento_EV!$C$11,Financiamento_EV!$C$10,0)),MAX(0,N118-Q118)))</f>
        <v>0</v>
      </c>
      <c r="S118" s="10">
        <f t="shared" si="60"/>
        <v>0</v>
      </c>
      <c r="T118" s="10">
        <f t="shared" si="61"/>
        <v>0</v>
      </c>
      <c r="V118">
        <f t="shared" si="71"/>
        <v>84</v>
      </c>
      <c r="W118" s="10">
        <f t="shared" si="72"/>
        <v>0</v>
      </c>
      <c r="X118" s="10">
        <f>IF(OR(W118&lt;=0,V118&gt;Financiamento_EV!$C$7),0,W118*Financiamento_EV!$C$9)</f>
        <v>0</v>
      </c>
      <c r="Y118" s="10">
        <f t="shared" si="62"/>
        <v>0</v>
      </c>
      <c r="Z118" s="10">
        <f>IF(Y118&lt;=0,0,Y118*Financiamento_EV!$C$6)</f>
        <v>0</v>
      </c>
      <c r="AA118" s="10">
        <f>IF(Y118&lt;=0,0,IF(Financiamento_EV!$C$6=0,Y118/(Financiamento_EV!$C$7-V118+1),Y118*Financiamento_EV!$C$6/(1-(1+Financiamento_EV!$C$6)^(-(Financiamento_EV!$C$7-V118+1)))))</f>
        <v>0</v>
      </c>
      <c r="AB118" s="10">
        <f t="shared" si="63"/>
        <v>0</v>
      </c>
      <c r="AC118" s="10">
        <f>IF(Y118&lt;=0,0,MIN(IF(ISNUMBER(INDEX(Financiamento_EV!$I$17:$I$136,V118)),MAX(0,INDEX(Financiamento_EV!$I$17:$I$136,V118)),IF(V118&gt;=Financiamento_EV!$C$11,Financiamento_EV!$C$10,0)),MAX(0,Y118-AB118)))</f>
        <v>0</v>
      </c>
      <c r="AD118" s="10">
        <f>IF(OR(Y118&lt;=0,V118&lt;Financiamento_EV!$C$11),0,MIN(MAX(0,Financiamento_EV!$F$5-AA118),MAX(0,Y118-AB118-AC118)))</f>
        <v>0</v>
      </c>
      <c r="AE118" s="10">
        <f t="shared" si="64"/>
        <v>0</v>
      </c>
      <c r="AF118" s="10">
        <f t="shared" si="65"/>
        <v>0</v>
      </c>
      <c r="AG118" s="10">
        <f t="shared" si="66"/>
        <v>0</v>
      </c>
    </row>
    <row r="119" spans="1:33">
      <c r="A119">
        <f t="shared" si="67"/>
        <v>85</v>
      </c>
      <c r="B119" s="10">
        <f t="shared" si="68"/>
        <v>0</v>
      </c>
      <c r="C119" s="10">
        <f>IF(OR(B119&lt;=0,A119&gt;Financiamento_EV!$C$7),0,B119*Financiamento_EV!$C$9)</f>
        <v>0</v>
      </c>
      <c r="D119" s="10">
        <f t="shared" si="54"/>
        <v>0</v>
      </c>
      <c r="E119" s="10">
        <f>IF(D119&lt;=0,0,D119*Financiamento_EV!$C$6)</f>
        <v>0</v>
      </c>
      <c r="F119" s="10">
        <f>IF(D119&lt;=0,0,IF(Financiamento_EV!$C$6=0,D119/(Financiamento_EV!$C$7-A119+1),D119*Financiamento_EV!$C$6/(1-(1+Financiamento_EV!$C$6)^(-(Financiamento_EV!$C$7-A119+1)))))</f>
        <v>0</v>
      </c>
      <c r="G119" s="10">
        <f t="shared" si="55"/>
        <v>0</v>
      </c>
      <c r="H119" s="10">
        <f t="shared" si="56"/>
        <v>0</v>
      </c>
      <c r="I119" s="10">
        <f t="shared" si="57"/>
        <v>0</v>
      </c>
      <c r="K119">
        <f t="shared" si="69"/>
        <v>85</v>
      </c>
      <c r="L119" s="10">
        <f t="shared" si="70"/>
        <v>0</v>
      </c>
      <c r="M119" s="10">
        <f>IF(OR(L119&lt;=0,K119&gt;Financiamento_EV!$C$7),0,L119*Financiamento_EV!$C$9)</f>
        <v>0</v>
      </c>
      <c r="N119" s="10">
        <f t="shared" si="58"/>
        <v>0</v>
      </c>
      <c r="O119" s="10">
        <f>IF(N119&lt;=0,0,N119*Financiamento_EV!$C$6)</f>
        <v>0</v>
      </c>
      <c r="P119" s="10">
        <f>IF(N119&lt;=0,0,IF(Financiamento_EV!$C$6=0,N119/(Financiamento_EV!$C$7-K119+1),N119*Financiamento_EV!$C$6/(1-(1+Financiamento_EV!$C$6)^(-(Financiamento_EV!$C$7-K119+1)))))</f>
        <v>0</v>
      </c>
      <c r="Q119" s="10">
        <f t="shared" si="59"/>
        <v>0</v>
      </c>
      <c r="R119" s="10">
        <f>IF(N119&lt;=0,0,MIN(IF(ISNUMBER(INDEX(Financiamento_EV!$I$17:$I$136,K119)),MAX(0,INDEX(Financiamento_EV!$I$17:$I$136,K119)),IF(K119&gt;=Financiamento_EV!$C$11,Financiamento_EV!$C$10,0)),MAX(0,N119-Q119)))</f>
        <v>0</v>
      </c>
      <c r="S119" s="10">
        <f t="shared" si="60"/>
        <v>0</v>
      </c>
      <c r="T119" s="10">
        <f t="shared" si="61"/>
        <v>0</v>
      </c>
      <c r="V119">
        <f t="shared" si="71"/>
        <v>85</v>
      </c>
      <c r="W119" s="10">
        <f t="shared" si="72"/>
        <v>0</v>
      </c>
      <c r="X119" s="10">
        <f>IF(OR(W119&lt;=0,V119&gt;Financiamento_EV!$C$7),0,W119*Financiamento_EV!$C$9)</f>
        <v>0</v>
      </c>
      <c r="Y119" s="10">
        <f t="shared" si="62"/>
        <v>0</v>
      </c>
      <c r="Z119" s="10">
        <f>IF(Y119&lt;=0,0,Y119*Financiamento_EV!$C$6)</f>
        <v>0</v>
      </c>
      <c r="AA119" s="10">
        <f>IF(Y119&lt;=0,0,IF(Financiamento_EV!$C$6=0,Y119/(Financiamento_EV!$C$7-V119+1),Y119*Financiamento_EV!$C$6/(1-(1+Financiamento_EV!$C$6)^(-(Financiamento_EV!$C$7-V119+1)))))</f>
        <v>0</v>
      </c>
      <c r="AB119" s="10">
        <f t="shared" si="63"/>
        <v>0</v>
      </c>
      <c r="AC119" s="10">
        <f>IF(Y119&lt;=0,0,MIN(IF(ISNUMBER(INDEX(Financiamento_EV!$I$17:$I$136,V119)),MAX(0,INDEX(Financiamento_EV!$I$17:$I$136,V119)),IF(V119&gt;=Financiamento_EV!$C$11,Financiamento_EV!$C$10,0)),MAX(0,Y119-AB119)))</f>
        <v>0</v>
      </c>
      <c r="AD119" s="10">
        <f>IF(OR(Y119&lt;=0,V119&lt;Financiamento_EV!$C$11),0,MIN(MAX(0,Financiamento_EV!$F$5-AA119),MAX(0,Y119-AB119-AC119)))</f>
        <v>0</v>
      </c>
      <c r="AE119" s="10">
        <f t="shared" si="64"/>
        <v>0</v>
      </c>
      <c r="AF119" s="10">
        <f t="shared" si="65"/>
        <v>0</v>
      </c>
      <c r="AG119" s="10">
        <f t="shared" si="66"/>
        <v>0</v>
      </c>
    </row>
    <row r="120" spans="1:33">
      <c r="A120">
        <f t="shared" si="67"/>
        <v>86</v>
      </c>
      <c r="B120" s="10">
        <f t="shared" si="68"/>
        <v>0</v>
      </c>
      <c r="C120" s="10">
        <f>IF(OR(B120&lt;=0,A120&gt;Financiamento_EV!$C$7),0,B120*Financiamento_EV!$C$9)</f>
        <v>0</v>
      </c>
      <c r="D120" s="10">
        <f t="shared" si="54"/>
        <v>0</v>
      </c>
      <c r="E120" s="10">
        <f>IF(D120&lt;=0,0,D120*Financiamento_EV!$C$6)</f>
        <v>0</v>
      </c>
      <c r="F120" s="10">
        <f>IF(D120&lt;=0,0,IF(Financiamento_EV!$C$6=0,D120/(Financiamento_EV!$C$7-A120+1),D120*Financiamento_EV!$C$6/(1-(1+Financiamento_EV!$C$6)^(-(Financiamento_EV!$C$7-A120+1)))))</f>
        <v>0</v>
      </c>
      <c r="G120" s="10">
        <f t="shared" si="55"/>
        <v>0</v>
      </c>
      <c r="H120" s="10">
        <f t="shared" si="56"/>
        <v>0</v>
      </c>
      <c r="I120" s="10">
        <f t="shared" si="57"/>
        <v>0</v>
      </c>
      <c r="K120">
        <f t="shared" si="69"/>
        <v>86</v>
      </c>
      <c r="L120" s="10">
        <f t="shared" si="70"/>
        <v>0</v>
      </c>
      <c r="M120" s="10">
        <f>IF(OR(L120&lt;=0,K120&gt;Financiamento_EV!$C$7),0,L120*Financiamento_EV!$C$9)</f>
        <v>0</v>
      </c>
      <c r="N120" s="10">
        <f t="shared" si="58"/>
        <v>0</v>
      </c>
      <c r="O120" s="10">
        <f>IF(N120&lt;=0,0,N120*Financiamento_EV!$C$6)</f>
        <v>0</v>
      </c>
      <c r="P120" s="10">
        <f>IF(N120&lt;=0,0,IF(Financiamento_EV!$C$6=0,N120/(Financiamento_EV!$C$7-K120+1),N120*Financiamento_EV!$C$6/(1-(1+Financiamento_EV!$C$6)^(-(Financiamento_EV!$C$7-K120+1)))))</f>
        <v>0</v>
      </c>
      <c r="Q120" s="10">
        <f t="shared" si="59"/>
        <v>0</v>
      </c>
      <c r="R120" s="10">
        <f>IF(N120&lt;=0,0,MIN(IF(ISNUMBER(INDEX(Financiamento_EV!$I$17:$I$136,K120)),MAX(0,INDEX(Financiamento_EV!$I$17:$I$136,K120)),IF(K120&gt;=Financiamento_EV!$C$11,Financiamento_EV!$C$10,0)),MAX(0,N120-Q120)))</f>
        <v>0</v>
      </c>
      <c r="S120" s="10">
        <f t="shared" si="60"/>
        <v>0</v>
      </c>
      <c r="T120" s="10">
        <f t="shared" si="61"/>
        <v>0</v>
      </c>
      <c r="V120">
        <f t="shared" si="71"/>
        <v>86</v>
      </c>
      <c r="W120" s="10">
        <f t="shared" si="72"/>
        <v>0</v>
      </c>
      <c r="X120" s="10">
        <f>IF(OR(W120&lt;=0,V120&gt;Financiamento_EV!$C$7),0,W120*Financiamento_EV!$C$9)</f>
        <v>0</v>
      </c>
      <c r="Y120" s="10">
        <f t="shared" si="62"/>
        <v>0</v>
      </c>
      <c r="Z120" s="10">
        <f>IF(Y120&lt;=0,0,Y120*Financiamento_EV!$C$6)</f>
        <v>0</v>
      </c>
      <c r="AA120" s="10">
        <f>IF(Y120&lt;=0,0,IF(Financiamento_EV!$C$6=0,Y120/(Financiamento_EV!$C$7-V120+1),Y120*Financiamento_EV!$C$6/(1-(1+Financiamento_EV!$C$6)^(-(Financiamento_EV!$C$7-V120+1)))))</f>
        <v>0</v>
      </c>
      <c r="AB120" s="10">
        <f t="shared" si="63"/>
        <v>0</v>
      </c>
      <c r="AC120" s="10">
        <f>IF(Y120&lt;=0,0,MIN(IF(ISNUMBER(INDEX(Financiamento_EV!$I$17:$I$136,V120)),MAX(0,INDEX(Financiamento_EV!$I$17:$I$136,V120)),IF(V120&gt;=Financiamento_EV!$C$11,Financiamento_EV!$C$10,0)),MAX(0,Y120-AB120)))</f>
        <v>0</v>
      </c>
      <c r="AD120" s="10">
        <f>IF(OR(Y120&lt;=0,V120&lt;Financiamento_EV!$C$11),0,MIN(MAX(0,Financiamento_EV!$F$5-AA120),MAX(0,Y120-AB120-AC120)))</f>
        <v>0</v>
      </c>
      <c r="AE120" s="10">
        <f t="shared" si="64"/>
        <v>0</v>
      </c>
      <c r="AF120" s="10">
        <f t="shared" si="65"/>
        <v>0</v>
      </c>
      <c r="AG120" s="10">
        <f t="shared" si="66"/>
        <v>0</v>
      </c>
    </row>
    <row r="121" spans="1:33">
      <c r="A121">
        <f t="shared" si="67"/>
        <v>87</v>
      </c>
      <c r="B121" s="10">
        <f t="shared" si="68"/>
        <v>0</v>
      </c>
      <c r="C121" s="10">
        <f>IF(OR(B121&lt;=0,A121&gt;Financiamento_EV!$C$7),0,B121*Financiamento_EV!$C$9)</f>
        <v>0</v>
      </c>
      <c r="D121" s="10">
        <f t="shared" si="54"/>
        <v>0</v>
      </c>
      <c r="E121" s="10">
        <f>IF(D121&lt;=0,0,D121*Financiamento_EV!$C$6)</f>
        <v>0</v>
      </c>
      <c r="F121" s="10">
        <f>IF(D121&lt;=0,0,IF(Financiamento_EV!$C$6=0,D121/(Financiamento_EV!$C$7-A121+1),D121*Financiamento_EV!$C$6/(1-(1+Financiamento_EV!$C$6)^(-(Financiamento_EV!$C$7-A121+1)))))</f>
        <v>0</v>
      </c>
      <c r="G121" s="10">
        <f t="shared" si="55"/>
        <v>0</v>
      </c>
      <c r="H121" s="10">
        <f t="shared" si="56"/>
        <v>0</v>
      </c>
      <c r="I121" s="10">
        <f t="shared" si="57"/>
        <v>0</v>
      </c>
      <c r="K121">
        <f t="shared" si="69"/>
        <v>87</v>
      </c>
      <c r="L121" s="10">
        <f t="shared" si="70"/>
        <v>0</v>
      </c>
      <c r="M121" s="10">
        <f>IF(OR(L121&lt;=0,K121&gt;Financiamento_EV!$C$7),0,L121*Financiamento_EV!$C$9)</f>
        <v>0</v>
      </c>
      <c r="N121" s="10">
        <f t="shared" si="58"/>
        <v>0</v>
      </c>
      <c r="O121" s="10">
        <f>IF(N121&lt;=0,0,N121*Financiamento_EV!$C$6)</f>
        <v>0</v>
      </c>
      <c r="P121" s="10">
        <f>IF(N121&lt;=0,0,IF(Financiamento_EV!$C$6=0,N121/(Financiamento_EV!$C$7-K121+1),N121*Financiamento_EV!$C$6/(1-(1+Financiamento_EV!$C$6)^(-(Financiamento_EV!$C$7-K121+1)))))</f>
        <v>0</v>
      </c>
      <c r="Q121" s="10">
        <f t="shared" si="59"/>
        <v>0</v>
      </c>
      <c r="R121" s="10">
        <f>IF(N121&lt;=0,0,MIN(IF(ISNUMBER(INDEX(Financiamento_EV!$I$17:$I$136,K121)),MAX(0,INDEX(Financiamento_EV!$I$17:$I$136,K121)),IF(K121&gt;=Financiamento_EV!$C$11,Financiamento_EV!$C$10,0)),MAX(0,N121-Q121)))</f>
        <v>0</v>
      </c>
      <c r="S121" s="10">
        <f t="shared" si="60"/>
        <v>0</v>
      </c>
      <c r="T121" s="10">
        <f t="shared" si="61"/>
        <v>0</v>
      </c>
      <c r="V121">
        <f t="shared" si="71"/>
        <v>87</v>
      </c>
      <c r="W121" s="10">
        <f t="shared" si="72"/>
        <v>0</v>
      </c>
      <c r="X121" s="10">
        <f>IF(OR(W121&lt;=0,V121&gt;Financiamento_EV!$C$7),0,W121*Financiamento_EV!$C$9)</f>
        <v>0</v>
      </c>
      <c r="Y121" s="10">
        <f t="shared" si="62"/>
        <v>0</v>
      </c>
      <c r="Z121" s="10">
        <f>IF(Y121&lt;=0,0,Y121*Financiamento_EV!$C$6)</f>
        <v>0</v>
      </c>
      <c r="AA121" s="10">
        <f>IF(Y121&lt;=0,0,IF(Financiamento_EV!$C$6=0,Y121/(Financiamento_EV!$C$7-V121+1),Y121*Financiamento_EV!$C$6/(1-(1+Financiamento_EV!$C$6)^(-(Financiamento_EV!$C$7-V121+1)))))</f>
        <v>0</v>
      </c>
      <c r="AB121" s="10">
        <f t="shared" si="63"/>
        <v>0</v>
      </c>
      <c r="AC121" s="10">
        <f>IF(Y121&lt;=0,0,MIN(IF(ISNUMBER(INDEX(Financiamento_EV!$I$17:$I$136,V121)),MAX(0,INDEX(Financiamento_EV!$I$17:$I$136,V121)),IF(V121&gt;=Financiamento_EV!$C$11,Financiamento_EV!$C$10,0)),MAX(0,Y121-AB121)))</f>
        <v>0</v>
      </c>
      <c r="AD121" s="10">
        <f>IF(OR(Y121&lt;=0,V121&lt;Financiamento_EV!$C$11),0,MIN(MAX(0,Financiamento_EV!$F$5-AA121),MAX(0,Y121-AB121-AC121)))</f>
        <v>0</v>
      </c>
      <c r="AE121" s="10">
        <f t="shared" si="64"/>
        <v>0</v>
      </c>
      <c r="AF121" s="10">
        <f t="shared" si="65"/>
        <v>0</v>
      </c>
      <c r="AG121" s="10">
        <f t="shared" si="66"/>
        <v>0</v>
      </c>
    </row>
    <row r="122" spans="1:33">
      <c r="A122">
        <f t="shared" si="67"/>
        <v>88</v>
      </c>
      <c r="B122" s="10">
        <f t="shared" si="68"/>
        <v>0</v>
      </c>
      <c r="C122" s="10">
        <f>IF(OR(B122&lt;=0,A122&gt;Financiamento_EV!$C$7),0,B122*Financiamento_EV!$C$9)</f>
        <v>0</v>
      </c>
      <c r="D122" s="10">
        <f t="shared" si="54"/>
        <v>0</v>
      </c>
      <c r="E122" s="10">
        <f>IF(D122&lt;=0,0,D122*Financiamento_EV!$C$6)</f>
        <v>0</v>
      </c>
      <c r="F122" s="10">
        <f>IF(D122&lt;=0,0,IF(Financiamento_EV!$C$6=0,D122/(Financiamento_EV!$C$7-A122+1),D122*Financiamento_EV!$C$6/(1-(1+Financiamento_EV!$C$6)^(-(Financiamento_EV!$C$7-A122+1)))))</f>
        <v>0</v>
      </c>
      <c r="G122" s="10">
        <f t="shared" si="55"/>
        <v>0</v>
      </c>
      <c r="H122" s="10">
        <f t="shared" si="56"/>
        <v>0</v>
      </c>
      <c r="I122" s="10">
        <f t="shared" si="57"/>
        <v>0</v>
      </c>
      <c r="K122">
        <f t="shared" si="69"/>
        <v>88</v>
      </c>
      <c r="L122" s="10">
        <f t="shared" si="70"/>
        <v>0</v>
      </c>
      <c r="M122" s="10">
        <f>IF(OR(L122&lt;=0,K122&gt;Financiamento_EV!$C$7),0,L122*Financiamento_EV!$C$9)</f>
        <v>0</v>
      </c>
      <c r="N122" s="10">
        <f t="shared" si="58"/>
        <v>0</v>
      </c>
      <c r="O122" s="10">
        <f>IF(N122&lt;=0,0,N122*Financiamento_EV!$C$6)</f>
        <v>0</v>
      </c>
      <c r="P122" s="10">
        <f>IF(N122&lt;=0,0,IF(Financiamento_EV!$C$6=0,N122/(Financiamento_EV!$C$7-K122+1),N122*Financiamento_EV!$C$6/(1-(1+Financiamento_EV!$C$6)^(-(Financiamento_EV!$C$7-K122+1)))))</f>
        <v>0</v>
      </c>
      <c r="Q122" s="10">
        <f t="shared" si="59"/>
        <v>0</v>
      </c>
      <c r="R122" s="10">
        <f>IF(N122&lt;=0,0,MIN(IF(ISNUMBER(INDEX(Financiamento_EV!$I$17:$I$136,K122)),MAX(0,INDEX(Financiamento_EV!$I$17:$I$136,K122)),IF(K122&gt;=Financiamento_EV!$C$11,Financiamento_EV!$C$10,0)),MAX(0,N122-Q122)))</f>
        <v>0</v>
      </c>
      <c r="S122" s="10">
        <f t="shared" si="60"/>
        <v>0</v>
      </c>
      <c r="T122" s="10">
        <f t="shared" si="61"/>
        <v>0</v>
      </c>
      <c r="V122">
        <f t="shared" si="71"/>
        <v>88</v>
      </c>
      <c r="W122" s="10">
        <f t="shared" si="72"/>
        <v>0</v>
      </c>
      <c r="X122" s="10">
        <f>IF(OR(W122&lt;=0,V122&gt;Financiamento_EV!$C$7),0,W122*Financiamento_EV!$C$9)</f>
        <v>0</v>
      </c>
      <c r="Y122" s="10">
        <f t="shared" si="62"/>
        <v>0</v>
      </c>
      <c r="Z122" s="10">
        <f>IF(Y122&lt;=0,0,Y122*Financiamento_EV!$C$6)</f>
        <v>0</v>
      </c>
      <c r="AA122" s="10">
        <f>IF(Y122&lt;=0,0,IF(Financiamento_EV!$C$6=0,Y122/(Financiamento_EV!$C$7-V122+1),Y122*Financiamento_EV!$C$6/(1-(1+Financiamento_EV!$C$6)^(-(Financiamento_EV!$C$7-V122+1)))))</f>
        <v>0</v>
      </c>
      <c r="AB122" s="10">
        <f t="shared" si="63"/>
        <v>0</v>
      </c>
      <c r="AC122" s="10">
        <f>IF(Y122&lt;=0,0,MIN(IF(ISNUMBER(INDEX(Financiamento_EV!$I$17:$I$136,V122)),MAX(0,INDEX(Financiamento_EV!$I$17:$I$136,V122)),IF(V122&gt;=Financiamento_EV!$C$11,Financiamento_EV!$C$10,0)),MAX(0,Y122-AB122)))</f>
        <v>0</v>
      </c>
      <c r="AD122" s="10">
        <f>IF(OR(Y122&lt;=0,V122&lt;Financiamento_EV!$C$11),0,MIN(MAX(0,Financiamento_EV!$F$5-AA122),MAX(0,Y122-AB122-AC122)))</f>
        <v>0</v>
      </c>
      <c r="AE122" s="10">
        <f t="shared" si="64"/>
        <v>0</v>
      </c>
      <c r="AF122" s="10">
        <f t="shared" si="65"/>
        <v>0</v>
      </c>
      <c r="AG122" s="10">
        <f t="shared" si="66"/>
        <v>0</v>
      </c>
    </row>
    <row r="123" spans="1:33">
      <c r="A123">
        <f t="shared" si="67"/>
        <v>89</v>
      </c>
      <c r="B123" s="10">
        <f t="shared" si="68"/>
        <v>0</v>
      </c>
      <c r="C123" s="10">
        <f>IF(OR(B123&lt;=0,A123&gt;Financiamento_EV!$C$7),0,B123*Financiamento_EV!$C$9)</f>
        <v>0</v>
      </c>
      <c r="D123" s="10">
        <f t="shared" si="54"/>
        <v>0</v>
      </c>
      <c r="E123" s="10">
        <f>IF(D123&lt;=0,0,D123*Financiamento_EV!$C$6)</f>
        <v>0</v>
      </c>
      <c r="F123" s="10">
        <f>IF(D123&lt;=0,0,IF(Financiamento_EV!$C$6=0,D123/(Financiamento_EV!$C$7-A123+1),D123*Financiamento_EV!$C$6/(1-(1+Financiamento_EV!$C$6)^(-(Financiamento_EV!$C$7-A123+1)))))</f>
        <v>0</v>
      </c>
      <c r="G123" s="10">
        <f t="shared" si="55"/>
        <v>0</v>
      </c>
      <c r="H123" s="10">
        <f t="shared" si="56"/>
        <v>0</v>
      </c>
      <c r="I123" s="10">
        <f t="shared" si="57"/>
        <v>0</v>
      </c>
      <c r="K123">
        <f t="shared" si="69"/>
        <v>89</v>
      </c>
      <c r="L123" s="10">
        <f t="shared" si="70"/>
        <v>0</v>
      </c>
      <c r="M123" s="10">
        <f>IF(OR(L123&lt;=0,K123&gt;Financiamento_EV!$C$7),0,L123*Financiamento_EV!$C$9)</f>
        <v>0</v>
      </c>
      <c r="N123" s="10">
        <f t="shared" si="58"/>
        <v>0</v>
      </c>
      <c r="O123" s="10">
        <f>IF(N123&lt;=0,0,N123*Financiamento_EV!$C$6)</f>
        <v>0</v>
      </c>
      <c r="P123" s="10">
        <f>IF(N123&lt;=0,0,IF(Financiamento_EV!$C$6=0,N123/(Financiamento_EV!$C$7-K123+1),N123*Financiamento_EV!$C$6/(1-(1+Financiamento_EV!$C$6)^(-(Financiamento_EV!$C$7-K123+1)))))</f>
        <v>0</v>
      </c>
      <c r="Q123" s="10">
        <f t="shared" si="59"/>
        <v>0</v>
      </c>
      <c r="R123" s="10">
        <f>IF(N123&lt;=0,0,MIN(IF(ISNUMBER(INDEX(Financiamento_EV!$I$17:$I$136,K123)),MAX(0,INDEX(Financiamento_EV!$I$17:$I$136,K123)),IF(K123&gt;=Financiamento_EV!$C$11,Financiamento_EV!$C$10,0)),MAX(0,N123-Q123)))</f>
        <v>0</v>
      </c>
      <c r="S123" s="10">
        <f t="shared" si="60"/>
        <v>0</v>
      </c>
      <c r="T123" s="10">
        <f t="shared" si="61"/>
        <v>0</v>
      </c>
      <c r="V123">
        <f t="shared" si="71"/>
        <v>89</v>
      </c>
      <c r="W123" s="10">
        <f t="shared" si="72"/>
        <v>0</v>
      </c>
      <c r="X123" s="10">
        <f>IF(OR(W123&lt;=0,V123&gt;Financiamento_EV!$C$7),0,W123*Financiamento_EV!$C$9)</f>
        <v>0</v>
      </c>
      <c r="Y123" s="10">
        <f t="shared" si="62"/>
        <v>0</v>
      </c>
      <c r="Z123" s="10">
        <f>IF(Y123&lt;=0,0,Y123*Financiamento_EV!$C$6)</f>
        <v>0</v>
      </c>
      <c r="AA123" s="10">
        <f>IF(Y123&lt;=0,0,IF(Financiamento_EV!$C$6=0,Y123/(Financiamento_EV!$C$7-V123+1),Y123*Financiamento_EV!$C$6/(1-(1+Financiamento_EV!$C$6)^(-(Financiamento_EV!$C$7-V123+1)))))</f>
        <v>0</v>
      </c>
      <c r="AB123" s="10">
        <f t="shared" si="63"/>
        <v>0</v>
      </c>
      <c r="AC123" s="10">
        <f>IF(Y123&lt;=0,0,MIN(IF(ISNUMBER(INDEX(Financiamento_EV!$I$17:$I$136,V123)),MAX(0,INDEX(Financiamento_EV!$I$17:$I$136,V123)),IF(V123&gt;=Financiamento_EV!$C$11,Financiamento_EV!$C$10,0)),MAX(0,Y123-AB123)))</f>
        <v>0</v>
      </c>
      <c r="AD123" s="10">
        <f>IF(OR(Y123&lt;=0,V123&lt;Financiamento_EV!$C$11),0,MIN(MAX(0,Financiamento_EV!$F$5-AA123),MAX(0,Y123-AB123-AC123)))</f>
        <v>0</v>
      </c>
      <c r="AE123" s="10">
        <f t="shared" si="64"/>
        <v>0</v>
      </c>
      <c r="AF123" s="10">
        <f t="shared" si="65"/>
        <v>0</v>
      </c>
      <c r="AG123" s="10">
        <f t="shared" si="66"/>
        <v>0</v>
      </c>
    </row>
    <row r="124" spans="1:33">
      <c r="A124">
        <f t="shared" si="67"/>
        <v>90</v>
      </c>
      <c r="B124" s="10">
        <f t="shared" si="68"/>
        <v>0</v>
      </c>
      <c r="C124" s="10">
        <f>IF(OR(B124&lt;=0,A124&gt;Financiamento_EV!$C$7),0,B124*Financiamento_EV!$C$9)</f>
        <v>0</v>
      </c>
      <c r="D124" s="10">
        <f t="shared" si="54"/>
        <v>0</v>
      </c>
      <c r="E124" s="10">
        <f>IF(D124&lt;=0,0,D124*Financiamento_EV!$C$6)</f>
        <v>0</v>
      </c>
      <c r="F124" s="10">
        <f>IF(D124&lt;=0,0,IF(Financiamento_EV!$C$6=0,D124/(Financiamento_EV!$C$7-A124+1),D124*Financiamento_EV!$C$6/(1-(1+Financiamento_EV!$C$6)^(-(Financiamento_EV!$C$7-A124+1)))))</f>
        <v>0</v>
      </c>
      <c r="G124" s="10">
        <f t="shared" si="55"/>
        <v>0</v>
      </c>
      <c r="H124" s="10">
        <f t="shared" si="56"/>
        <v>0</v>
      </c>
      <c r="I124" s="10">
        <f t="shared" si="57"/>
        <v>0</v>
      </c>
      <c r="K124">
        <f t="shared" si="69"/>
        <v>90</v>
      </c>
      <c r="L124" s="10">
        <f t="shared" si="70"/>
        <v>0</v>
      </c>
      <c r="M124" s="10">
        <f>IF(OR(L124&lt;=0,K124&gt;Financiamento_EV!$C$7),0,L124*Financiamento_EV!$C$9)</f>
        <v>0</v>
      </c>
      <c r="N124" s="10">
        <f t="shared" si="58"/>
        <v>0</v>
      </c>
      <c r="O124" s="10">
        <f>IF(N124&lt;=0,0,N124*Financiamento_EV!$C$6)</f>
        <v>0</v>
      </c>
      <c r="P124" s="10">
        <f>IF(N124&lt;=0,0,IF(Financiamento_EV!$C$6=0,N124/(Financiamento_EV!$C$7-K124+1),N124*Financiamento_EV!$C$6/(1-(1+Financiamento_EV!$C$6)^(-(Financiamento_EV!$C$7-K124+1)))))</f>
        <v>0</v>
      </c>
      <c r="Q124" s="10">
        <f t="shared" si="59"/>
        <v>0</v>
      </c>
      <c r="R124" s="10">
        <f>IF(N124&lt;=0,0,MIN(IF(ISNUMBER(INDEX(Financiamento_EV!$I$17:$I$136,K124)),MAX(0,INDEX(Financiamento_EV!$I$17:$I$136,K124)),IF(K124&gt;=Financiamento_EV!$C$11,Financiamento_EV!$C$10,0)),MAX(0,N124-Q124)))</f>
        <v>0</v>
      </c>
      <c r="S124" s="10">
        <f t="shared" si="60"/>
        <v>0</v>
      </c>
      <c r="T124" s="10">
        <f t="shared" si="61"/>
        <v>0</v>
      </c>
      <c r="V124">
        <f t="shared" si="71"/>
        <v>90</v>
      </c>
      <c r="W124" s="10">
        <f t="shared" si="72"/>
        <v>0</v>
      </c>
      <c r="X124" s="10">
        <f>IF(OR(W124&lt;=0,V124&gt;Financiamento_EV!$C$7),0,W124*Financiamento_EV!$C$9)</f>
        <v>0</v>
      </c>
      <c r="Y124" s="10">
        <f t="shared" si="62"/>
        <v>0</v>
      </c>
      <c r="Z124" s="10">
        <f>IF(Y124&lt;=0,0,Y124*Financiamento_EV!$C$6)</f>
        <v>0</v>
      </c>
      <c r="AA124" s="10">
        <f>IF(Y124&lt;=0,0,IF(Financiamento_EV!$C$6=0,Y124/(Financiamento_EV!$C$7-V124+1),Y124*Financiamento_EV!$C$6/(1-(1+Financiamento_EV!$C$6)^(-(Financiamento_EV!$C$7-V124+1)))))</f>
        <v>0</v>
      </c>
      <c r="AB124" s="10">
        <f t="shared" si="63"/>
        <v>0</v>
      </c>
      <c r="AC124" s="10">
        <f>IF(Y124&lt;=0,0,MIN(IF(ISNUMBER(INDEX(Financiamento_EV!$I$17:$I$136,V124)),MAX(0,INDEX(Financiamento_EV!$I$17:$I$136,V124)),IF(V124&gt;=Financiamento_EV!$C$11,Financiamento_EV!$C$10,0)),MAX(0,Y124-AB124)))</f>
        <v>0</v>
      </c>
      <c r="AD124" s="10">
        <f>IF(OR(Y124&lt;=0,V124&lt;Financiamento_EV!$C$11),0,MIN(MAX(0,Financiamento_EV!$F$5-AA124),MAX(0,Y124-AB124-AC124)))</f>
        <v>0</v>
      </c>
      <c r="AE124" s="10">
        <f t="shared" si="64"/>
        <v>0</v>
      </c>
      <c r="AF124" s="10">
        <f t="shared" si="65"/>
        <v>0</v>
      </c>
      <c r="AG124" s="10">
        <f t="shared" si="66"/>
        <v>0</v>
      </c>
    </row>
    <row r="125" spans="1:33">
      <c r="A125">
        <f t="shared" si="67"/>
        <v>91</v>
      </c>
      <c r="B125" s="10">
        <f t="shared" si="68"/>
        <v>0</v>
      </c>
      <c r="C125" s="10">
        <f>IF(OR(B125&lt;=0,A125&gt;Financiamento_EV!$C$7),0,B125*Financiamento_EV!$C$9)</f>
        <v>0</v>
      </c>
      <c r="D125" s="10">
        <f t="shared" si="54"/>
        <v>0</v>
      </c>
      <c r="E125" s="10">
        <f>IF(D125&lt;=0,0,D125*Financiamento_EV!$C$6)</f>
        <v>0</v>
      </c>
      <c r="F125" s="10">
        <f>IF(D125&lt;=0,0,IF(Financiamento_EV!$C$6=0,D125/(Financiamento_EV!$C$7-A125+1),D125*Financiamento_EV!$C$6/(1-(1+Financiamento_EV!$C$6)^(-(Financiamento_EV!$C$7-A125+1)))))</f>
        <v>0</v>
      </c>
      <c r="G125" s="10">
        <f t="shared" si="55"/>
        <v>0</v>
      </c>
      <c r="H125" s="10">
        <f t="shared" si="56"/>
        <v>0</v>
      </c>
      <c r="I125" s="10">
        <f t="shared" si="57"/>
        <v>0</v>
      </c>
      <c r="K125">
        <f t="shared" si="69"/>
        <v>91</v>
      </c>
      <c r="L125" s="10">
        <f t="shared" si="70"/>
        <v>0</v>
      </c>
      <c r="M125" s="10">
        <f>IF(OR(L125&lt;=0,K125&gt;Financiamento_EV!$C$7),0,L125*Financiamento_EV!$C$9)</f>
        <v>0</v>
      </c>
      <c r="N125" s="10">
        <f t="shared" si="58"/>
        <v>0</v>
      </c>
      <c r="O125" s="10">
        <f>IF(N125&lt;=0,0,N125*Financiamento_EV!$C$6)</f>
        <v>0</v>
      </c>
      <c r="P125" s="10">
        <f>IF(N125&lt;=0,0,IF(Financiamento_EV!$C$6=0,N125/(Financiamento_EV!$C$7-K125+1),N125*Financiamento_EV!$C$6/(1-(1+Financiamento_EV!$C$6)^(-(Financiamento_EV!$C$7-K125+1)))))</f>
        <v>0</v>
      </c>
      <c r="Q125" s="10">
        <f t="shared" si="59"/>
        <v>0</v>
      </c>
      <c r="R125" s="10">
        <f>IF(N125&lt;=0,0,MIN(IF(ISNUMBER(INDEX(Financiamento_EV!$I$17:$I$136,K125)),MAX(0,INDEX(Financiamento_EV!$I$17:$I$136,K125)),IF(K125&gt;=Financiamento_EV!$C$11,Financiamento_EV!$C$10,0)),MAX(0,N125-Q125)))</f>
        <v>0</v>
      </c>
      <c r="S125" s="10">
        <f t="shared" si="60"/>
        <v>0</v>
      </c>
      <c r="T125" s="10">
        <f t="shared" si="61"/>
        <v>0</v>
      </c>
      <c r="V125">
        <f t="shared" si="71"/>
        <v>91</v>
      </c>
      <c r="W125" s="10">
        <f t="shared" si="72"/>
        <v>0</v>
      </c>
      <c r="X125" s="10">
        <f>IF(OR(W125&lt;=0,V125&gt;Financiamento_EV!$C$7),0,W125*Financiamento_EV!$C$9)</f>
        <v>0</v>
      </c>
      <c r="Y125" s="10">
        <f t="shared" si="62"/>
        <v>0</v>
      </c>
      <c r="Z125" s="10">
        <f>IF(Y125&lt;=0,0,Y125*Financiamento_EV!$C$6)</f>
        <v>0</v>
      </c>
      <c r="AA125" s="10">
        <f>IF(Y125&lt;=0,0,IF(Financiamento_EV!$C$6=0,Y125/(Financiamento_EV!$C$7-V125+1),Y125*Financiamento_EV!$C$6/(1-(1+Financiamento_EV!$C$6)^(-(Financiamento_EV!$C$7-V125+1)))))</f>
        <v>0</v>
      </c>
      <c r="AB125" s="10">
        <f t="shared" si="63"/>
        <v>0</v>
      </c>
      <c r="AC125" s="10">
        <f>IF(Y125&lt;=0,0,MIN(IF(ISNUMBER(INDEX(Financiamento_EV!$I$17:$I$136,V125)),MAX(0,INDEX(Financiamento_EV!$I$17:$I$136,V125)),IF(V125&gt;=Financiamento_EV!$C$11,Financiamento_EV!$C$10,0)),MAX(0,Y125-AB125)))</f>
        <v>0</v>
      </c>
      <c r="AD125" s="10">
        <f>IF(OR(Y125&lt;=0,V125&lt;Financiamento_EV!$C$11),0,MIN(MAX(0,Financiamento_EV!$F$5-AA125),MAX(0,Y125-AB125-AC125)))</f>
        <v>0</v>
      </c>
      <c r="AE125" s="10">
        <f t="shared" si="64"/>
        <v>0</v>
      </c>
      <c r="AF125" s="10">
        <f t="shared" si="65"/>
        <v>0</v>
      </c>
      <c r="AG125" s="10">
        <f t="shared" si="66"/>
        <v>0</v>
      </c>
    </row>
    <row r="126" spans="1:33">
      <c r="A126">
        <f t="shared" si="67"/>
        <v>92</v>
      </c>
      <c r="B126" s="10">
        <f t="shared" si="68"/>
        <v>0</v>
      </c>
      <c r="C126" s="10">
        <f>IF(OR(B126&lt;=0,A126&gt;Financiamento_EV!$C$7),0,B126*Financiamento_EV!$C$9)</f>
        <v>0</v>
      </c>
      <c r="D126" s="10">
        <f t="shared" si="54"/>
        <v>0</v>
      </c>
      <c r="E126" s="10">
        <f>IF(D126&lt;=0,0,D126*Financiamento_EV!$C$6)</f>
        <v>0</v>
      </c>
      <c r="F126" s="10">
        <f>IF(D126&lt;=0,0,IF(Financiamento_EV!$C$6=0,D126/(Financiamento_EV!$C$7-A126+1),D126*Financiamento_EV!$C$6/(1-(1+Financiamento_EV!$C$6)^(-(Financiamento_EV!$C$7-A126+1)))))</f>
        <v>0</v>
      </c>
      <c r="G126" s="10">
        <f t="shared" si="55"/>
        <v>0</v>
      </c>
      <c r="H126" s="10">
        <f t="shared" si="56"/>
        <v>0</v>
      </c>
      <c r="I126" s="10">
        <f t="shared" si="57"/>
        <v>0</v>
      </c>
      <c r="K126">
        <f t="shared" si="69"/>
        <v>92</v>
      </c>
      <c r="L126" s="10">
        <f t="shared" si="70"/>
        <v>0</v>
      </c>
      <c r="M126" s="10">
        <f>IF(OR(L126&lt;=0,K126&gt;Financiamento_EV!$C$7),0,L126*Financiamento_EV!$C$9)</f>
        <v>0</v>
      </c>
      <c r="N126" s="10">
        <f t="shared" si="58"/>
        <v>0</v>
      </c>
      <c r="O126" s="10">
        <f>IF(N126&lt;=0,0,N126*Financiamento_EV!$C$6)</f>
        <v>0</v>
      </c>
      <c r="P126" s="10">
        <f>IF(N126&lt;=0,0,IF(Financiamento_EV!$C$6=0,N126/(Financiamento_EV!$C$7-K126+1),N126*Financiamento_EV!$C$6/(1-(1+Financiamento_EV!$C$6)^(-(Financiamento_EV!$C$7-K126+1)))))</f>
        <v>0</v>
      </c>
      <c r="Q126" s="10">
        <f t="shared" si="59"/>
        <v>0</v>
      </c>
      <c r="R126" s="10">
        <f>IF(N126&lt;=0,0,MIN(IF(ISNUMBER(INDEX(Financiamento_EV!$I$17:$I$136,K126)),MAX(0,INDEX(Financiamento_EV!$I$17:$I$136,K126)),IF(K126&gt;=Financiamento_EV!$C$11,Financiamento_EV!$C$10,0)),MAX(0,N126-Q126)))</f>
        <v>0</v>
      </c>
      <c r="S126" s="10">
        <f t="shared" si="60"/>
        <v>0</v>
      </c>
      <c r="T126" s="10">
        <f t="shared" si="61"/>
        <v>0</v>
      </c>
      <c r="V126">
        <f t="shared" si="71"/>
        <v>92</v>
      </c>
      <c r="W126" s="10">
        <f t="shared" si="72"/>
        <v>0</v>
      </c>
      <c r="X126" s="10">
        <f>IF(OR(W126&lt;=0,V126&gt;Financiamento_EV!$C$7),0,W126*Financiamento_EV!$C$9)</f>
        <v>0</v>
      </c>
      <c r="Y126" s="10">
        <f t="shared" si="62"/>
        <v>0</v>
      </c>
      <c r="Z126" s="10">
        <f>IF(Y126&lt;=0,0,Y126*Financiamento_EV!$C$6)</f>
        <v>0</v>
      </c>
      <c r="AA126" s="10">
        <f>IF(Y126&lt;=0,0,IF(Financiamento_EV!$C$6=0,Y126/(Financiamento_EV!$C$7-V126+1),Y126*Financiamento_EV!$C$6/(1-(1+Financiamento_EV!$C$6)^(-(Financiamento_EV!$C$7-V126+1)))))</f>
        <v>0</v>
      </c>
      <c r="AB126" s="10">
        <f t="shared" si="63"/>
        <v>0</v>
      </c>
      <c r="AC126" s="10">
        <f>IF(Y126&lt;=0,0,MIN(IF(ISNUMBER(INDEX(Financiamento_EV!$I$17:$I$136,V126)),MAX(0,INDEX(Financiamento_EV!$I$17:$I$136,V126)),IF(V126&gt;=Financiamento_EV!$C$11,Financiamento_EV!$C$10,0)),MAX(0,Y126-AB126)))</f>
        <v>0</v>
      </c>
      <c r="AD126" s="10">
        <f>IF(OR(Y126&lt;=0,V126&lt;Financiamento_EV!$C$11),0,MIN(MAX(0,Financiamento_EV!$F$5-AA126),MAX(0,Y126-AB126-AC126)))</f>
        <v>0</v>
      </c>
      <c r="AE126" s="10">
        <f t="shared" si="64"/>
        <v>0</v>
      </c>
      <c r="AF126" s="10">
        <f t="shared" si="65"/>
        <v>0</v>
      </c>
      <c r="AG126" s="10">
        <f t="shared" si="66"/>
        <v>0</v>
      </c>
    </row>
    <row r="127" spans="1:33">
      <c r="A127">
        <f t="shared" si="67"/>
        <v>93</v>
      </c>
      <c r="B127" s="10">
        <f t="shared" si="68"/>
        <v>0</v>
      </c>
      <c r="C127" s="10">
        <f>IF(OR(B127&lt;=0,A127&gt;Financiamento_EV!$C$7),0,B127*Financiamento_EV!$C$9)</f>
        <v>0</v>
      </c>
      <c r="D127" s="10">
        <f t="shared" si="54"/>
        <v>0</v>
      </c>
      <c r="E127" s="10">
        <f>IF(D127&lt;=0,0,D127*Financiamento_EV!$C$6)</f>
        <v>0</v>
      </c>
      <c r="F127" s="10">
        <f>IF(D127&lt;=0,0,IF(Financiamento_EV!$C$6=0,D127/(Financiamento_EV!$C$7-A127+1),D127*Financiamento_EV!$C$6/(1-(1+Financiamento_EV!$C$6)^(-(Financiamento_EV!$C$7-A127+1)))))</f>
        <v>0</v>
      </c>
      <c r="G127" s="10">
        <f t="shared" si="55"/>
        <v>0</v>
      </c>
      <c r="H127" s="10">
        <f t="shared" si="56"/>
        <v>0</v>
      </c>
      <c r="I127" s="10">
        <f t="shared" si="57"/>
        <v>0</v>
      </c>
      <c r="K127">
        <f t="shared" si="69"/>
        <v>93</v>
      </c>
      <c r="L127" s="10">
        <f t="shared" si="70"/>
        <v>0</v>
      </c>
      <c r="M127" s="10">
        <f>IF(OR(L127&lt;=0,K127&gt;Financiamento_EV!$C$7),0,L127*Financiamento_EV!$C$9)</f>
        <v>0</v>
      </c>
      <c r="N127" s="10">
        <f t="shared" si="58"/>
        <v>0</v>
      </c>
      <c r="O127" s="10">
        <f>IF(N127&lt;=0,0,N127*Financiamento_EV!$C$6)</f>
        <v>0</v>
      </c>
      <c r="P127" s="10">
        <f>IF(N127&lt;=0,0,IF(Financiamento_EV!$C$6=0,N127/(Financiamento_EV!$C$7-K127+1),N127*Financiamento_EV!$C$6/(1-(1+Financiamento_EV!$C$6)^(-(Financiamento_EV!$C$7-K127+1)))))</f>
        <v>0</v>
      </c>
      <c r="Q127" s="10">
        <f t="shared" si="59"/>
        <v>0</v>
      </c>
      <c r="R127" s="10">
        <f>IF(N127&lt;=0,0,MIN(IF(ISNUMBER(INDEX(Financiamento_EV!$I$17:$I$136,K127)),MAX(0,INDEX(Financiamento_EV!$I$17:$I$136,K127)),IF(K127&gt;=Financiamento_EV!$C$11,Financiamento_EV!$C$10,0)),MAX(0,N127-Q127)))</f>
        <v>0</v>
      </c>
      <c r="S127" s="10">
        <f t="shared" si="60"/>
        <v>0</v>
      </c>
      <c r="T127" s="10">
        <f t="shared" si="61"/>
        <v>0</v>
      </c>
      <c r="V127">
        <f t="shared" si="71"/>
        <v>93</v>
      </c>
      <c r="W127" s="10">
        <f t="shared" si="72"/>
        <v>0</v>
      </c>
      <c r="X127" s="10">
        <f>IF(OR(W127&lt;=0,V127&gt;Financiamento_EV!$C$7),0,W127*Financiamento_EV!$C$9)</f>
        <v>0</v>
      </c>
      <c r="Y127" s="10">
        <f t="shared" si="62"/>
        <v>0</v>
      </c>
      <c r="Z127" s="10">
        <f>IF(Y127&lt;=0,0,Y127*Financiamento_EV!$C$6)</f>
        <v>0</v>
      </c>
      <c r="AA127" s="10">
        <f>IF(Y127&lt;=0,0,IF(Financiamento_EV!$C$6=0,Y127/(Financiamento_EV!$C$7-V127+1),Y127*Financiamento_EV!$C$6/(1-(1+Financiamento_EV!$C$6)^(-(Financiamento_EV!$C$7-V127+1)))))</f>
        <v>0</v>
      </c>
      <c r="AB127" s="10">
        <f t="shared" si="63"/>
        <v>0</v>
      </c>
      <c r="AC127" s="10">
        <f>IF(Y127&lt;=0,0,MIN(IF(ISNUMBER(INDEX(Financiamento_EV!$I$17:$I$136,V127)),MAX(0,INDEX(Financiamento_EV!$I$17:$I$136,V127)),IF(V127&gt;=Financiamento_EV!$C$11,Financiamento_EV!$C$10,0)),MAX(0,Y127-AB127)))</f>
        <v>0</v>
      </c>
      <c r="AD127" s="10">
        <f>IF(OR(Y127&lt;=0,V127&lt;Financiamento_EV!$C$11),0,MIN(MAX(0,Financiamento_EV!$F$5-AA127),MAX(0,Y127-AB127-AC127)))</f>
        <v>0</v>
      </c>
      <c r="AE127" s="10">
        <f t="shared" si="64"/>
        <v>0</v>
      </c>
      <c r="AF127" s="10">
        <f t="shared" si="65"/>
        <v>0</v>
      </c>
      <c r="AG127" s="10">
        <f t="shared" si="66"/>
        <v>0</v>
      </c>
    </row>
    <row r="128" spans="1:33">
      <c r="A128">
        <f t="shared" si="67"/>
        <v>94</v>
      </c>
      <c r="B128" s="10">
        <f t="shared" si="68"/>
        <v>0</v>
      </c>
      <c r="C128" s="10">
        <f>IF(OR(B128&lt;=0,A128&gt;Financiamento_EV!$C$7),0,B128*Financiamento_EV!$C$9)</f>
        <v>0</v>
      </c>
      <c r="D128" s="10">
        <f t="shared" si="54"/>
        <v>0</v>
      </c>
      <c r="E128" s="10">
        <f>IF(D128&lt;=0,0,D128*Financiamento_EV!$C$6)</f>
        <v>0</v>
      </c>
      <c r="F128" s="10">
        <f>IF(D128&lt;=0,0,IF(Financiamento_EV!$C$6=0,D128/(Financiamento_EV!$C$7-A128+1),D128*Financiamento_EV!$C$6/(1-(1+Financiamento_EV!$C$6)^(-(Financiamento_EV!$C$7-A128+1)))))</f>
        <v>0</v>
      </c>
      <c r="G128" s="10">
        <f t="shared" si="55"/>
        <v>0</v>
      </c>
      <c r="H128" s="10">
        <f t="shared" si="56"/>
        <v>0</v>
      </c>
      <c r="I128" s="10">
        <f t="shared" si="57"/>
        <v>0</v>
      </c>
      <c r="K128">
        <f t="shared" si="69"/>
        <v>94</v>
      </c>
      <c r="L128" s="10">
        <f t="shared" si="70"/>
        <v>0</v>
      </c>
      <c r="M128" s="10">
        <f>IF(OR(L128&lt;=0,K128&gt;Financiamento_EV!$C$7),0,L128*Financiamento_EV!$C$9)</f>
        <v>0</v>
      </c>
      <c r="N128" s="10">
        <f t="shared" si="58"/>
        <v>0</v>
      </c>
      <c r="O128" s="10">
        <f>IF(N128&lt;=0,0,N128*Financiamento_EV!$C$6)</f>
        <v>0</v>
      </c>
      <c r="P128" s="10">
        <f>IF(N128&lt;=0,0,IF(Financiamento_EV!$C$6=0,N128/(Financiamento_EV!$C$7-K128+1),N128*Financiamento_EV!$C$6/(1-(1+Financiamento_EV!$C$6)^(-(Financiamento_EV!$C$7-K128+1)))))</f>
        <v>0</v>
      </c>
      <c r="Q128" s="10">
        <f t="shared" si="59"/>
        <v>0</v>
      </c>
      <c r="R128" s="10">
        <f>IF(N128&lt;=0,0,MIN(IF(ISNUMBER(INDEX(Financiamento_EV!$I$17:$I$136,K128)),MAX(0,INDEX(Financiamento_EV!$I$17:$I$136,K128)),IF(K128&gt;=Financiamento_EV!$C$11,Financiamento_EV!$C$10,0)),MAX(0,N128-Q128)))</f>
        <v>0</v>
      </c>
      <c r="S128" s="10">
        <f t="shared" si="60"/>
        <v>0</v>
      </c>
      <c r="T128" s="10">
        <f t="shared" si="61"/>
        <v>0</v>
      </c>
      <c r="V128">
        <f t="shared" si="71"/>
        <v>94</v>
      </c>
      <c r="W128" s="10">
        <f t="shared" si="72"/>
        <v>0</v>
      </c>
      <c r="X128" s="10">
        <f>IF(OR(W128&lt;=0,V128&gt;Financiamento_EV!$C$7),0,W128*Financiamento_EV!$C$9)</f>
        <v>0</v>
      </c>
      <c r="Y128" s="10">
        <f t="shared" si="62"/>
        <v>0</v>
      </c>
      <c r="Z128" s="10">
        <f>IF(Y128&lt;=0,0,Y128*Financiamento_EV!$C$6)</f>
        <v>0</v>
      </c>
      <c r="AA128" s="10">
        <f>IF(Y128&lt;=0,0,IF(Financiamento_EV!$C$6=0,Y128/(Financiamento_EV!$C$7-V128+1),Y128*Financiamento_EV!$C$6/(1-(1+Financiamento_EV!$C$6)^(-(Financiamento_EV!$C$7-V128+1)))))</f>
        <v>0</v>
      </c>
      <c r="AB128" s="10">
        <f t="shared" si="63"/>
        <v>0</v>
      </c>
      <c r="AC128" s="10">
        <f>IF(Y128&lt;=0,0,MIN(IF(ISNUMBER(INDEX(Financiamento_EV!$I$17:$I$136,V128)),MAX(0,INDEX(Financiamento_EV!$I$17:$I$136,V128)),IF(V128&gt;=Financiamento_EV!$C$11,Financiamento_EV!$C$10,0)),MAX(0,Y128-AB128)))</f>
        <v>0</v>
      </c>
      <c r="AD128" s="10">
        <f>IF(OR(Y128&lt;=0,V128&lt;Financiamento_EV!$C$11),0,MIN(MAX(0,Financiamento_EV!$F$5-AA128),MAX(0,Y128-AB128-AC128)))</f>
        <v>0</v>
      </c>
      <c r="AE128" s="10">
        <f t="shared" si="64"/>
        <v>0</v>
      </c>
      <c r="AF128" s="10">
        <f t="shared" si="65"/>
        <v>0</v>
      </c>
      <c r="AG128" s="10">
        <f t="shared" si="66"/>
        <v>0</v>
      </c>
    </row>
    <row r="129" spans="1:33">
      <c r="A129">
        <f t="shared" si="67"/>
        <v>95</v>
      </c>
      <c r="B129" s="10">
        <f t="shared" si="68"/>
        <v>0</v>
      </c>
      <c r="C129" s="10">
        <f>IF(OR(B129&lt;=0,A129&gt;Financiamento_EV!$C$7),0,B129*Financiamento_EV!$C$9)</f>
        <v>0</v>
      </c>
      <c r="D129" s="10">
        <f t="shared" si="54"/>
        <v>0</v>
      </c>
      <c r="E129" s="10">
        <f>IF(D129&lt;=0,0,D129*Financiamento_EV!$C$6)</f>
        <v>0</v>
      </c>
      <c r="F129" s="10">
        <f>IF(D129&lt;=0,0,IF(Financiamento_EV!$C$6=0,D129/(Financiamento_EV!$C$7-A129+1),D129*Financiamento_EV!$C$6/(1-(1+Financiamento_EV!$C$6)^(-(Financiamento_EV!$C$7-A129+1)))))</f>
        <v>0</v>
      </c>
      <c r="G129" s="10">
        <f t="shared" si="55"/>
        <v>0</v>
      </c>
      <c r="H129" s="10">
        <f t="shared" si="56"/>
        <v>0</v>
      </c>
      <c r="I129" s="10">
        <f t="shared" si="57"/>
        <v>0</v>
      </c>
      <c r="K129">
        <f t="shared" si="69"/>
        <v>95</v>
      </c>
      <c r="L129" s="10">
        <f t="shared" si="70"/>
        <v>0</v>
      </c>
      <c r="M129" s="10">
        <f>IF(OR(L129&lt;=0,K129&gt;Financiamento_EV!$C$7),0,L129*Financiamento_EV!$C$9)</f>
        <v>0</v>
      </c>
      <c r="N129" s="10">
        <f t="shared" si="58"/>
        <v>0</v>
      </c>
      <c r="O129" s="10">
        <f>IF(N129&lt;=0,0,N129*Financiamento_EV!$C$6)</f>
        <v>0</v>
      </c>
      <c r="P129" s="10">
        <f>IF(N129&lt;=0,0,IF(Financiamento_EV!$C$6=0,N129/(Financiamento_EV!$C$7-K129+1),N129*Financiamento_EV!$C$6/(1-(1+Financiamento_EV!$C$6)^(-(Financiamento_EV!$C$7-K129+1)))))</f>
        <v>0</v>
      </c>
      <c r="Q129" s="10">
        <f t="shared" si="59"/>
        <v>0</v>
      </c>
      <c r="R129" s="10">
        <f>IF(N129&lt;=0,0,MIN(IF(ISNUMBER(INDEX(Financiamento_EV!$I$17:$I$136,K129)),MAX(0,INDEX(Financiamento_EV!$I$17:$I$136,K129)),IF(K129&gt;=Financiamento_EV!$C$11,Financiamento_EV!$C$10,0)),MAX(0,N129-Q129)))</f>
        <v>0</v>
      </c>
      <c r="S129" s="10">
        <f t="shared" si="60"/>
        <v>0</v>
      </c>
      <c r="T129" s="10">
        <f t="shared" si="61"/>
        <v>0</v>
      </c>
      <c r="V129">
        <f t="shared" si="71"/>
        <v>95</v>
      </c>
      <c r="W129" s="10">
        <f t="shared" si="72"/>
        <v>0</v>
      </c>
      <c r="X129" s="10">
        <f>IF(OR(W129&lt;=0,V129&gt;Financiamento_EV!$C$7),0,W129*Financiamento_EV!$C$9)</f>
        <v>0</v>
      </c>
      <c r="Y129" s="10">
        <f t="shared" si="62"/>
        <v>0</v>
      </c>
      <c r="Z129" s="10">
        <f>IF(Y129&lt;=0,0,Y129*Financiamento_EV!$C$6)</f>
        <v>0</v>
      </c>
      <c r="AA129" s="10">
        <f>IF(Y129&lt;=0,0,IF(Financiamento_EV!$C$6=0,Y129/(Financiamento_EV!$C$7-V129+1),Y129*Financiamento_EV!$C$6/(1-(1+Financiamento_EV!$C$6)^(-(Financiamento_EV!$C$7-V129+1)))))</f>
        <v>0</v>
      </c>
      <c r="AB129" s="10">
        <f t="shared" si="63"/>
        <v>0</v>
      </c>
      <c r="AC129" s="10">
        <f>IF(Y129&lt;=0,0,MIN(IF(ISNUMBER(INDEX(Financiamento_EV!$I$17:$I$136,V129)),MAX(0,INDEX(Financiamento_EV!$I$17:$I$136,V129)),IF(V129&gt;=Financiamento_EV!$C$11,Financiamento_EV!$C$10,0)),MAX(0,Y129-AB129)))</f>
        <v>0</v>
      </c>
      <c r="AD129" s="10">
        <f>IF(OR(Y129&lt;=0,V129&lt;Financiamento_EV!$C$11),0,MIN(MAX(0,Financiamento_EV!$F$5-AA129),MAX(0,Y129-AB129-AC129)))</f>
        <v>0</v>
      </c>
      <c r="AE129" s="10">
        <f t="shared" si="64"/>
        <v>0</v>
      </c>
      <c r="AF129" s="10">
        <f t="shared" si="65"/>
        <v>0</v>
      </c>
      <c r="AG129" s="10">
        <f t="shared" si="66"/>
        <v>0</v>
      </c>
    </row>
    <row r="130" spans="1:33">
      <c r="A130">
        <f t="shared" si="67"/>
        <v>96</v>
      </c>
      <c r="B130" s="10">
        <f t="shared" si="68"/>
        <v>0</v>
      </c>
      <c r="C130" s="10">
        <f>IF(OR(B130&lt;=0,A130&gt;Financiamento_EV!$C$7),0,B130*Financiamento_EV!$C$9)</f>
        <v>0</v>
      </c>
      <c r="D130" s="10">
        <f t="shared" si="54"/>
        <v>0</v>
      </c>
      <c r="E130" s="10">
        <f>IF(D130&lt;=0,0,D130*Financiamento_EV!$C$6)</f>
        <v>0</v>
      </c>
      <c r="F130" s="10">
        <f>IF(D130&lt;=0,0,IF(Financiamento_EV!$C$6=0,D130/(Financiamento_EV!$C$7-A130+1),D130*Financiamento_EV!$C$6/(1-(1+Financiamento_EV!$C$6)^(-(Financiamento_EV!$C$7-A130+1)))))</f>
        <v>0</v>
      </c>
      <c r="G130" s="10">
        <f t="shared" si="55"/>
        <v>0</v>
      </c>
      <c r="H130" s="10">
        <f t="shared" si="56"/>
        <v>0</v>
      </c>
      <c r="I130" s="10">
        <f t="shared" si="57"/>
        <v>0</v>
      </c>
      <c r="K130">
        <f t="shared" si="69"/>
        <v>96</v>
      </c>
      <c r="L130" s="10">
        <f t="shared" si="70"/>
        <v>0</v>
      </c>
      <c r="M130" s="10">
        <f>IF(OR(L130&lt;=0,K130&gt;Financiamento_EV!$C$7),0,L130*Financiamento_EV!$C$9)</f>
        <v>0</v>
      </c>
      <c r="N130" s="10">
        <f t="shared" si="58"/>
        <v>0</v>
      </c>
      <c r="O130" s="10">
        <f>IF(N130&lt;=0,0,N130*Financiamento_EV!$C$6)</f>
        <v>0</v>
      </c>
      <c r="P130" s="10">
        <f>IF(N130&lt;=0,0,IF(Financiamento_EV!$C$6=0,N130/(Financiamento_EV!$C$7-K130+1),N130*Financiamento_EV!$C$6/(1-(1+Financiamento_EV!$C$6)^(-(Financiamento_EV!$C$7-K130+1)))))</f>
        <v>0</v>
      </c>
      <c r="Q130" s="10">
        <f t="shared" si="59"/>
        <v>0</v>
      </c>
      <c r="R130" s="10">
        <f>IF(N130&lt;=0,0,MIN(IF(ISNUMBER(INDEX(Financiamento_EV!$I$17:$I$136,K130)),MAX(0,INDEX(Financiamento_EV!$I$17:$I$136,K130)),IF(K130&gt;=Financiamento_EV!$C$11,Financiamento_EV!$C$10,0)),MAX(0,N130-Q130)))</f>
        <v>0</v>
      </c>
      <c r="S130" s="10">
        <f t="shared" si="60"/>
        <v>0</v>
      </c>
      <c r="T130" s="10">
        <f t="shared" si="61"/>
        <v>0</v>
      </c>
      <c r="V130">
        <f t="shared" si="71"/>
        <v>96</v>
      </c>
      <c r="W130" s="10">
        <f t="shared" si="72"/>
        <v>0</v>
      </c>
      <c r="X130" s="10">
        <f>IF(OR(W130&lt;=0,V130&gt;Financiamento_EV!$C$7),0,W130*Financiamento_EV!$C$9)</f>
        <v>0</v>
      </c>
      <c r="Y130" s="10">
        <f t="shared" si="62"/>
        <v>0</v>
      </c>
      <c r="Z130" s="10">
        <f>IF(Y130&lt;=0,0,Y130*Financiamento_EV!$C$6)</f>
        <v>0</v>
      </c>
      <c r="AA130" s="10">
        <f>IF(Y130&lt;=0,0,IF(Financiamento_EV!$C$6=0,Y130/(Financiamento_EV!$C$7-V130+1),Y130*Financiamento_EV!$C$6/(1-(1+Financiamento_EV!$C$6)^(-(Financiamento_EV!$C$7-V130+1)))))</f>
        <v>0</v>
      </c>
      <c r="AB130" s="10">
        <f t="shared" si="63"/>
        <v>0</v>
      </c>
      <c r="AC130" s="10">
        <f>IF(Y130&lt;=0,0,MIN(IF(ISNUMBER(INDEX(Financiamento_EV!$I$17:$I$136,V130)),MAX(0,INDEX(Financiamento_EV!$I$17:$I$136,V130)),IF(V130&gt;=Financiamento_EV!$C$11,Financiamento_EV!$C$10,0)),MAX(0,Y130-AB130)))</f>
        <v>0</v>
      </c>
      <c r="AD130" s="10">
        <f>IF(OR(Y130&lt;=0,V130&lt;Financiamento_EV!$C$11),0,MIN(MAX(0,Financiamento_EV!$F$5-AA130),MAX(0,Y130-AB130-AC130)))</f>
        <v>0</v>
      </c>
      <c r="AE130" s="10">
        <f t="shared" si="64"/>
        <v>0</v>
      </c>
      <c r="AF130" s="10">
        <f t="shared" si="65"/>
        <v>0</v>
      </c>
      <c r="AG130" s="10">
        <f t="shared" si="66"/>
        <v>0</v>
      </c>
    </row>
    <row r="131" spans="1:33">
      <c r="A131">
        <f t="shared" si="67"/>
        <v>97</v>
      </c>
      <c r="B131" s="10">
        <f t="shared" si="68"/>
        <v>0</v>
      </c>
      <c r="C131" s="10">
        <f>IF(OR(B131&lt;=0,A131&gt;Financiamento_EV!$C$7),0,B131*Financiamento_EV!$C$9)</f>
        <v>0</v>
      </c>
      <c r="D131" s="10">
        <f t="shared" ref="D131:D154" si="73">MAX(0,B131+C131)</f>
        <v>0</v>
      </c>
      <c r="E131" s="10">
        <f>IF(D131&lt;=0,0,D131*Financiamento_EV!$C$6)</f>
        <v>0</v>
      </c>
      <c r="F131" s="10">
        <f>IF(D131&lt;=0,0,IF(Financiamento_EV!$C$6=0,D131/(Financiamento_EV!$C$7-A131+1),D131*Financiamento_EV!$C$6/(1-(1+Financiamento_EV!$C$6)^(-(Financiamento_EV!$C$7-A131+1)))))</f>
        <v>0</v>
      </c>
      <c r="G131" s="10">
        <f t="shared" ref="G131:G154" si="74">MAX(0,MIN(D131,F131-E131))</f>
        <v>0</v>
      </c>
      <c r="H131" s="10">
        <f t="shared" ref="H131:H154" si="75">MAX(0,D131-G131)</f>
        <v>0</v>
      </c>
      <c r="I131" s="10">
        <f t="shared" ref="I131:I154" si="76">IF(D131&lt;=0,0,F131)</f>
        <v>0</v>
      </c>
      <c r="K131">
        <f t="shared" si="69"/>
        <v>97</v>
      </c>
      <c r="L131" s="10">
        <f t="shared" si="70"/>
        <v>0</v>
      </c>
      <c r="M131" s="10">
        <f>IF(OR(L131&lt;=0,K131&gt;Financiamento_EV!$C$7),0,L131*Financiamento_EV!$C$9)</f>
        <v>0</v>
      </c>
      <c r="N131" s="10">
        <f t="shared" ref="N131:N154" si="77">MAX(0,L131+M131)</f>
        <v>0</v>
      </c>
      <c r="O131" s="10">
        <f>IF(N131&lt;=0,0,N131*Financiamento_EV!$C$6)</f>
        <v>0</v>
      </c>
      <c r="P131" s="10">
        <f>IF(N131&lt;=0,0,IF(Financiamento_EV!$C$6=0,N131/(Financiamento_EV!$C$7-K131+1),N131*Financiamento_EV!$C$6/(1-(1+Financiamento_EV!$C$6)^(-(Financiamento_EV!$C$7-K131+1)))))</f>
        <v>0</v>
      </c>
      <c r="Q131" s="10">
        <f t="shared" ref="Q131:Q154" si="78">MAX(0,MIN(N131,P131-O131))</f>
        <v>0</v>
      </c>
      <c r="R131" s="10">
        <f>IF(N131&lt;=0,0,MIN(IF(ISNUMBER(INDEX(Financiamento_EV!$I$17:$I$136,K131)),MAX(0,INDEX(Financiamento_EV!$I$17:$I$136,K131)),IF(K131&gt;=Financiamento_EV!$C$11,Financiamento_EV!$C$10,0)),MAX(0,N131-Q131)))</f>
        <v>0</v>
      </c>
      <c r="S131" s="10">
        <f t="shared" ref="S131:S154" si="79">MAX(0,N131-Q131-R131)</f>
        <v>0</v>
      </c>
      <c r="T131" s="10">
        <f t="shared" ref="T131:T154" si="80">IF(N131&lt;=0,0,P131+R131)</f>
        <v>0</v>
      </c>
      <c r="V131">
        <f t="shared" si="71"/>
        <v>97</v>
      </c>
      <c r="W131" s="10">
        <f t="shared" si="72"/>
        <v>0</v>
      </c>
      <c r="X131" s="10">
        <f>IF(OR(W131&lt;=0,V131&gt;Financiamento_EV!$C$7),0,W131*Financiamento_EV!$C$9)</f>
        <v>0</v>
      </c>
      <c r="Y131" s="10">
        <f t="shared" ref="Y131:Y154" si="81">MAX(0,W131+X131)</f>
        <v>0</v>
      </c>
      <c r="Z131" s="10">
        <f>IF(Y131&lt;=0,0,Y131*Financiamento_EV!$C$6)</f>
        <v>0</v>
      </c>
      <c r="AA131" s="10">
        <f>IF(Y131&lt;=0,0,IF(Financiamento_EV!$C$6=0,Y131/(Financiamento_EV!$C$7-V131+1),Y131*Financiamento_EV!$C$6/(1-(1+Financiamento_EV!$C$6)^(-(Financiamento_EV!$C$7-V131+1)))))</f>
        <v>0</v>
      </c>
      <c r="AB131" s="10">
        <f t="shared" ref="AB131:AB154" si="82">MAX(0,MIN(Y131,AA131-Z131))</f>
        <v>0</v>
      </c>
      <c r="AC131" s="10">
        <f>IF(Y131&lt;=0,0,MIN(IF(ISNUMBER(INDEX(Financiamento_EV!$I$17:$I$136,V131)),MAX(0,INDEX(Financiamento_EV!$I$17:$I$136,V131)),IF(V131&gt;=Financiamento_EV!$C$11,Financiamento_EV!$C$10,0)),MAX(0,Y131-AB131)))</f>
        <v>0</v>
      </c>
      <c r="AD131" s="10">
        <f>IF(OR(Y131&lt;=0,V131&lt;Financiamento_EV!$C$11),0,MIN(MAX(0,Financiamento_EV!$F$5-AA131),MAX(0,Y131-AB131-AC131)))</f>
        <v>0</v>
      </c>
      <c r="AE131" s="10">
        <f t="shared" ref="AE131:AE154" si="83">IF(Y131&lt;=0,0,AA131+AC131+AD131)</f>
        <v>0</v>
      </c>
      <c r="AF131" s="10">
        <f t="shared" ref="AF131:AF154" si="84">MAX(0,Y131-AB131-AC131-AD131)</f>
        <v>0</v>
      </c>
      <c r="AG131" s="10">
        <f t="shared" ref="AG131:AG154" si="85">AC131+AD131</f>
        <v>0</v>
      </c>
    </row>
    <row r="132" spans="1:33">
      <c r="A132">
        <f t="shared" ref="A132:A154" si="86">A131+1</f>
        <v>98</v>
      </c>
      <c r="B132" s="10">
        <f t="shared" ref="B132:B154" si="87">H131</f>
        <v>0</v>
      </c>
      <c r="C132" s="10">
        <f>IF(OR(B132&lt;=0,A132&gt;Financiamento_EV!$C$7),0,B132*Financiamento_EV!$C$9)</f>
        <v>0</v>
      </c>
      <c r="D132" s="10">
        <f t="shared" si="73"/>
        <v>0</v>
      </c>
      <c r="E132" s="10">
        <f>IF(D132&lt;=0,0,D132*Financiamento_EV!$C$6)</f>
        <v>0</v>
      </c>
      <c r="F132" s="10">
        <f>IF(D132&lt;=0,0,IF(Financiamento_EV!$C$6=0,D132/(Financiamento_EV!$C$7-A132+1),D132*Financiamento_EV!$C$6/(1-(1+Financiamento_EV!$C$6)^(-(Financiamento_EV!$C$7-A132+1)))))</f>
        <v>0</v>
      </c>
      <c r="G132" s="10">
        <f t="shared" si="74"/>
        <v>0</v>
      </c>
      <c r="H132" s="10">
        <f t="shared" si="75"/>
        <v>0</v>
      </c>
      <c r="I132" s="10">
        <f t="shared" si="76"/>
        <v>0</v>
      </c>
      <c r="K132">
        <f t="shared" ref="K132:K154" si="88">K131+1</f>
        <v>98</v>
      </c>
      <c r="L132" s="10">
        <f t="shared" ref="L132:L154" si="89">S131</f>
        <v>0</v>
      </c>
      <c r="M132" s="10">
        <f>IF(OR(L132&lt;=0,K132&gt;Financiamento_EV!$C$7),0,L132*Financiamento_EV!$C$9)</f>
        <v>0</v>
      </c>
      <c r="N132" s="10">
        <f t="shared" si="77"/>
        <v>0</v>
      </c>
      <c r="O132" s="10">
        <f>IF(N132&lt;=0,0,N132*Financiamento_EV!$C$6)</f>
        <v>0</v>
      </c>
      <c r="P132" s="10">
        <f>IF(N132&lt;=0,0,IF(Financiamento_EV!$C$6=0,N132/(Financiamento_EV!$C$7-K132+1),N132*Financiamento_EV!$C$6/(1-(1+Financiamento_EV!$C$6)^(-(Financiamento_EV!$C$7-K132+1)))))</f>
        <v>0</v>
      </c>
      <c r="Q132" s="10">
        <f t="shared" si="78"/>
        <v>0</v>
      </c>
      <c r="R132" s="10">
        <f>IF(N132&lt;=0,0,MIN(IF(ISNUMBER(INDEX(Financiamento_EV!$I$17:$I$136,K132)),MAX(0,INDEX(Financiamento_EV!$I$17:$I$136,K132)),IF(K132&gt;=Financiamento_EV!$C$11,Financiamento_EV!$C$10,0)),MAX(0,N132-Q132)))</f>
        <v>0</v>
      </c>
      <c r="S132" s="10">
        <f t="shared" si="79"/>
        <v>0</v>
      </c>
      <c r="T132" s="10">
        <f t="shared" si="80"/>
        <v>0</v>
      </c>
      <c r="V132">
        <f t="shared" ref="V132:V154" si="90">V131+1</f>
        <v>98</v>
      </c>
      <c r="W132" s="10">
        <f t="shared" ref="W132:W154" si="91">AF131</f>
        <v>0</v>
      </c>
      <c r="X132" s="10">
        <f>IF(OR(W132&lt;=0,V132&gt;Financiamento_EV!$C$7),0,W132*Financiamento_EV!$C$9)</f>
        <v>0</v>
      </c>
      <c r="Y132" s="10">
        <f t="shared" si="81"/>
        <v>0</v>
      </c>
      <c r="Z132" s="10">
        <f>IF(Y132&lt;=0,0,Y132*Financiamento_EV!$C$6)</f>
        <v>0</v>
      </c>
      <c r="AA132" s="10">
        <f>IF(Y132&lt;=0,0,IF(Financiamento_EV!$C$6=0,Y132/(Financiamento_EV!$C$7-V132+1),Y132*Financiamento_EV!$C$6/(1-(1+Financiamento_EV!$C$6)^(-(Financiamento_EV!$C$7-V132+1)))))</f>
        <v>0</v>
      </c>
      <c r="AB132" s="10">
        <f t="shared" si="82"/>
        <v>0</v>
      </c>
      <c r="AC132" s="10">
        <f>IF(Y132&lt;=0,0,MIN(IF(ISNUMBER(INDEX(Financiamento_EV!$I$17:$I$136,V132)),MAX(0,INDEX(Financiamento_EV!$I$17:$I$136,V132)),IF(V132&gt;=Financiamento_EV!$C$11,Financiamento_EV!$C$10,0)),MAX(0,Y132-AB132)))</f>
        <v>0</v>
      </c>
      <c r="AD132" s="10">
        <f>IF(OR(Y132&lt;=0,V132&lt;Financiamento_EV!$C$11),0,MIN(MAX(0,Financiamento_EV!$F$5-AA132),MAX(0,Y132-AB132-AC132)))</f>
        <v>0</v>
      </c>
      <c r="AE132" s="10">
        <f t="shared" si="83"/>
        <v>0</v>
      </c>
      <c r="AF132" s="10">
        <f t="shared" si="84"/>
        <v>0</v>
      </c>
      <c r="AG132" s="10">
        <f t="shared" si="85"/>
        <v>0</v>
      </c>
    </row>
    <row r="133" spans="1:33">
      <c r="A133">
        <f t="shared" si="86"/>
        <v>99</v>
      </c>
      <c r="B133" s="10">
        <f t="shared" si="87"/>
        <v>0</v>
      </c>
      <c r="C133" s="10">
        <f>IF(OR(B133&lt;=0,A133&gt;Financiamento_EV!$C$7),0,B133*Financiamento_EV!$C$9)</f>
        <v>0</v>
      </c>
      <c r="D133" s="10">
        <f t="shared" si="73"/>
        <v>0</v>
      </c>
      <c r="E133" s="10">
        <f>IF(D133&lt;=0,0,D133*Financiamento_EV!$C$6)</f>
        <v>0</v>
      </c>
      <c r="F133" s="10">
        <f>IF(D133&lt;=0,0,IF(Financiamento_EV!$C$6=0,D133/(Financiamento_EV!$C$7-A133+1),D133*Financiamento_EV!$C$6/(1-(1+Financiamento_EV!$C$6)^(-(Financiamento_EV!$C$7-A133+1)))))</f>
        <v>0</v>
      </c>
      <c r="G133" s="10">
        <f t="shared" si="74"/>
        <v>0</v>
      </c>
      <c r="H133" s="10">
        <f t="shared" si="75"/>
        <v>0</v>
      </c>
      <c r="I133" s="10">
        <f t="shared" si="76"/>
        <v>0</v>
      </c>
      <c r="K133">
        <f t="shared" si="88"/>
        <v>99</v>
      </c>
      <c r="L133" s="10">
        <f t="shared" si="89"/>
        <v>0</v>
      </c>
      <c r="M133" s="10">
        <f>IF(OR(L133&lt;=0,K133&gt;Financiamento_EV!$C$7),0,L133*Financiamento_EV!$C$9)</f>
        <v>0</v>
      </c>
      <c r="N133" s="10">
        <f t="shared" si="77"/>
        <v>0</v>
      </c>
      <c r="O133" s="10">
        <f>IF(N133&lt;=0,0,N133*Financiamento_EV!$C$6)</f>
        <v>0</v>
      </c>
      <c r="P133" s="10">
        <f>IF(N133&lt;=0,0,IF(Financiamento_EV!$C$6=0,N133/(Financiamento_EV!$C$7-K133+1),N133*Financiamento_EV!$C$6/(1-(1+Financiamento_EV!$C$6)^(-(Financiamento_EV!$C$7-K133+1)))))</f>
        <v>0</v>
      </c>
      <c r="Q133" s="10">
        <f t="shared" si="78"/>
        <v>0</v>
      </c>
      <c r="R133" s="10">
        <f>IF(N133&lt;=0,0,MIN(IF(ISNUMBER(INDEX(Financiamento_EV!$I$17:$I$136,K133)),MAX(0,INDEX(Financiamento_EV!$I$17:$I$136,K133)),IF(K133&gt;=Financiamento_EV!$C$11,Financiamento_EV!$C$10,0)),MAX(0,N133-Q133)))</f>
        <v>0</v>
      </c>
      <c r="S133" s="10">
        <f t="shared" si="79"/>
        <v>0</v>
      </c>
      <c r="T133" s="10">
        <f t="shared" si="80"/>
        <v>0</v>
      </c>
      <c r="V133">
        <f t="shared" si="90"/>
        <v>99</v>
      </c>
      <c r="W133" s="10">
        <f t="shared" si="91"/>
        <v>0</v>
      </c>
      <c r="X133" s="10">
        <f>IF(OR(W133&lt;=0,V133&gt;Financiamento_EV!$C$7),0,W133*Financiamento_EV!$C$9)</f>
        <v>0</v>
      </c>
      <c r="Y133" s="10">
        <f t="shared" si="81"/>
        <v>0</v>
      </c>
      <c r="Z133" s="10">
        <f>IF(Y133&lt;=0,0,Y133*Financiamento_EV!$C$6)</f>
        <v>0</v>
      </c>
      <c r="AA133" s="10">
        <f>IF(Y133&lt;=0,0,IF(Financiamento_EV!$C$6=0,Y133/(Financiamento_EV!$C$7-V133+1),Y133*Financiamento_EV!$C$6/(1-(1+Financiamento_EV!$C$6)^(-(Financiamento_EV!$C$7-V133+1)))))</f>
        <v>0</v>
      </c>
      <c r="AB133" s="10">
        <f t="shared" si="82"/>
        <v>0</v>
      </c>
      <c r="AC133" s="10">
        <f>IF(Y133&lt;=0,0,MIN(IF(ISNUMBER(INDEX(Financiamento_EV!$I$17:$I$136,V133)),MAX(0,INDEX(Financiamento_EV!$I$17:$I$136,V133)),IF(V133&gt;=Financiamento_EV!$C$11,Financiamento_EV!$C$10,0)),MAX(0,Y133-AB133)))</f>
        <v>0</v>
      </c>
      <c r="AD133" s="10">
        <f>IF(OR(Y133&lt;=0,V133&lt;Financiamento_EV!$C$11),0,MIN(MAX(0,Financiamento_EV!$F$5-AA133),MAX(0,Y133-AB133-AC133)))</f>
        <v>0</v>
      </c>
      <c r="AE133" s="10">
        <f t="shared" si="83"/>
        <v>0</v>
      </c>
      <c r="AF133" s="10">
        <f t="shared" si="84"/>
        <v>0</v>
      </c>
      <c r="AG133" s="10">
        <f t="shared" si="85"/>
        <v>0</v>
      </c>
    </row>
    <row r="134" spans="1:33">
      <c r="A134">
        <f t="shared" si="86"/>
        <v>100</v>
      </c>
      <c r="B134" s="10">
        <f t="shared" si="87"/>
        <v>0</v>
      </c>
      <c r="C134" s="10">
        <f>IF(OR(B134&lt;=0,A134&gt;Financiamento_EV!$C$7),0,B134*Financiamento_EV!$C$9)</f>
        <v>0</v>
      </c>
      <c r="D134" s="10">
        <f t="shared" si="73"/>
        <v>0</v>
      </c>
      <c r="E134" s="10">
        <f>IF(D134&lt;=0,0,D134*Financiamento_EV!$C$6)</f>
        <v>0</v>
      </c>
      <c r="F134" s="10">
        <f>IF(D134&lt;=0,0,IF(Financiamento_EV!$C$6=0,D134/(Financiamento_EV!$C$7-A134+1),D134*Financiamento_EV!$C$6/(1-(1+Financiamento_EV!$C$6)^(-(Financiamento_EV!$C$7-A134+1)))))</f>
        <v>0</v>
      </c>
      <c r="G134" s="10">
        <f t="shared" si="74"/>
        <v>0</v>
      </c>
      <c r="H134" s="10">
        <f t="shared" si="75"/>
        <v>0</v>
      </c>
      <c r="I134" s="10">
        <f t="shared" si="76"/>
        <v>0</v>
      </c>
      <c r="K134">
        <f t="shared" si="88"/>
        <v>100</v>
      </c>
      <c r="L134" s="10">
        <f t="shared" si="89"/>
        <v>0</v>
      </c>
      <c r="M134" s="10">
        <f>IF(OR(L134&lt;=0,K134&gt;Financiamento_EV!$C$7),0,L134*Financiamento_EV!$C$9)</f>
        <v>0</v>
      </c>
      <c r="N134" s="10">
        <f t="shared" si="77"/>
        <v>0</v>
      </c>
      <c r="O134" s="10">
        <f>IF(N134&lt;=0,0,N134*Financiamento_EV!$C$6)</f>
        <v>0</v>
      </c>
      <c r="P134" s="10">
        <f>IF(N134&lt;=0,0,IF(Financiamento_EV!$C$6=0,N134/(Financiamento_EV!$C$7-K134+1),N134*Financiamento_EV!$C$6/(1-(1+Financiamento_EV!$C$6)^(-(Financiamento_EV!$C$7-K134+1)))))</f>
        <v>0</v>
      </c>
      <c r="Q134" s="10">
        <f t="shared" si="78"/>
        <v>0</v>
      </c>
      <c r="R134" s="10">
        <f>IF(N134&lt;=0,0,MIN(IF(ISNUMBER(INDEX(Financiamento_EV!$I$17:$I$136,K134)),MAX(0,INDEX(Financiamento_EV!$I$17:$I$136,K134)),IF(K134&gt;=Financiamento_EV!$C$11,Financiamento_EV!$C$10,0)),MAX(0,N134-Q134)))</f>
        <v>0</v>
      </c>
      <c r="S134" s="10">
        <f t="shared" si="79"/>
        <v>0</v>
      </c>
      <c r="T134" s="10">
        <f t="shared" si="80"/>
        <v>0</v>
      </c>
      <c r="V134">
        <f t="shared" si="90"/>
        <v>100</v>
      </c>
      <c r="W134" s="10">
        <f t="shared" si="91"/>
        <v>0</v>
      </c>
      <c r="X134" s="10">
        <f>IF(OR(W134&lt;=0,V134&gt;Financiamento_EV!$C$7),0,W134*Financiamento_EV!$C$9)</f>
        <v>0</v>
      </c>
      <c r="Y134" s="10">
        <f t="shared" si="81"/>
        <v>0</v>
      </c>
      <c r="Z134" s="10">
        <f>IF(Y134&lt;=0,0,Y134*Financiamento_EV!$C$6)</f>
        <v>0</v>
      </c>
      <c r="AA134" s="10">
        <f>IF(Y134&lt;=0,0,IF(Financiamento_EV!$C$6=0,Y134/(Financiamento_EV!$C$7-V134+1),Y134*Financiamento_EV!$C$6/(1-(1+Financiamento_EV!$C$6)^(-(Financiamento_EV!$C$7-V134+1)))))</f>
        <v>0</v>
      </c>
      <c r="AB134" s="10">
        <f t="shared" si="82"/>
        <v>0</v>
      </c>
      <c r="AC134" s="10">
        <f>IF(Y134&lt;=0,0,MIN(IF(ISNUMBER(INDEX(Financiamento_EV!$I$17:$I$136,V134)),MAX(0,INDEX(Financiamento_EV!$I$17:$I$136,V134)),IF(V134&gt;=Financiamento_EV!$C$11,Financiamento_EV!$C$10,0)),MAX(0,Y134-AB134)))</f>
        <v>0</v>
      </c>
      <c r="AD134" s="10">
        <f>IF(OR(Y134&lt;=0,V134&lt;Financiamento_EV!$C$11),0,MIN(MAX(0,Financiamento_EV!$F$5-AA134),MAX(0,Y134-AB134-AC134)))</f>
        <v>0</v>
      </c>
      <c r="AE134" s="10">
        <f t="shared" si="83"/>
        <v>0</v>
      </c>
      <c r="AF134" s="10">
        <f t="shared" si="84"/>
        <v>0</v>
      </c>
      <c r="AG134" s="10">
        <f t="shared" si="85"/>
        <v>0</v>
      </c>
    </row>
    <row r="135" spans="1:33">
      <c r="A135">
        <f t="shared" si="86"/>
        <v>101</v>
      </c>
      <c r="B135" s="10">
        <f t="shared" si="87"/>
        <v>0</v>
      </c>
      <c r="C135" s="10">
        <f>IF(OR(B135&lt;=0,A135&gt;Financiamento_EV!$C$7),0,B135*Financiamento_EV!$C$9)</f>
        <v>0</v>
      </c>
      <c r="D135" s="10">
        <f t="shared" si="73"/>
        <v>0</v>
      </c>
      <c r="E135" s="10">
        <f>IF(D135&lt;=0,0,D135*Financiamento_EV!$C$6)</f>
        <v>0</v>
      </c>
      <c r="F135" s="10">
        <f>IF(D135&lt;=0,0,IF(Financiamento_EV!$C$6=0,D135/(Financiamento_EV!$C$7-A135+1),D135*Financiamento_EV!$C$6/(1-(1+Financiamento_EV!$C$6)^(-(Financiamento_EV!$C$7-A135+1)))))</f>
        <v>0</v>
      </c>
      <c r="G135" s="10">
        <f t="shared" si="74"/>
        <v>0</v>
      </c>
      <c r="H135" s="10">
        <f t="shared" si="75"/>
        <v>0</v>
      </c>
      <c r="I135" s="10">
        <f t="shared" si="76"/>
        <v>0</v>
      </c>
      <c r="K135">
        <f t="shared" si="88"/>
        <v>101</v>
      </c>
      <c r="L135" s="10">
        <f t="shared" si="89"/>
        <v>0</v>
      </c>
      <c r="M135" s="10">
        <f>IF(OR(L135&lt;=0,K135&gt;Financiamento_EV!$C$7),0,L135*Financiamento_EV!$C$9)</f>
        <v>0</v>
      </c>
      <c r="N135" s="10">
        <f t="shared" si="77"/>
        <v>0</v>
      </c>
      <c r="O135" s="10">
        <f>IF(N135&lt;=0,0,N135*Financiamento_EV!$C$6)</f>
        <v>0</v>
      </c>
      <c r="P135" s="10">
        <f>IF(N135&lt;=0,0,IF(Financiamento_EV!$C$6=0,N135/(Financiamento_EV!$C$7-K135+1),N135*Financiamento_EV!$C$6/(1-(1+Financiamento_EV!$C$6)^(-(Financiamento_EV!$C$7-K135+1)))))</f>
        <v>0</v>
      </c>
      <c r="Q135" s="10">
        <f t="shared" si="78"/>
        <v>0</v>
      </c>
      <c r="R135" s="10">
        <f>IF(N135&lt;=0,0,MIN(IF(ISNUMBER(INDEX(Financiamento_EV!$I$17:$I$136,K135)),MAX(0,INDEX(Financiamento_EV!$I$17:$I$136,K135)),IF(K135&gt;=Financiamento_EV!$C$11,Financiamento_EV!$C$10,0)),MAX(0,N135-Q135)))</f>
        <v>0</v>
      </c>
      <c r="S135" s="10">
        <f t="shared" si="79"/>
        <v>0</v>
      </c>
      <c r="T135" s="10">
        <f t="shared" si="80"/>
        <v>0</v>
      </c>
      <c r="V135">
        <f t="shared" si="90"/>
        <v>101</v>
      </c>
      <c r="W135" s="10">
        <f t="shared" si="91"/>
        <v>0</v>
      </c>
      <c r="X135" s="10">
        <f>IF(OR(W135&lt;=0,V135&gt;Financiamento_EV!$C$7),0,W135*Financiamento_EV!$C$9)</f>
        <v>0</v>
      </c>
      <c r="Y135" s="10">
        <f t="shared" si="81"/>
        <v>0</v>
      </c>
      <c r="Z135" s="10">
        <f>IF(Y135&lt;=0,0,Y135*Financiamento_EV!$C$6)</f>
        <v>0</v>
      </c>
      <c r="AA135" s="10">
        <f>IF(Y135&lt;=0,0,IF(Financiamento_EV!$C$6=0,Y135/(Financiamento_EV!$C$7-V135+1),Y135*Financiamento_EV!$C$6/(1-(1+Financiamento_EV!$C$6)^(-(Financiamento_EV!$C$7-V135+1)))))</f>
        <v>0</v>
      </c>
      <c r="AB135" s="10">
        <f t="shared" si="82"/>
        <v>0</v>
      </c>
      <c r="AC135" s="10">
        <f>IF(Y135&lt;=0,0,MIN(IF(ISNUMBER(INDEX(Financiamento_EV!$I$17:$I$136,V135)),MAX(0,INDEX(Financiamento_EV!$I$17:$I$136,V135)),IF(V135&gt;=Financiamento_EV!$C$11,Financiamento_EV!$C$10,0)),MAX(0,Y135-AB135)))</f>
        <v>0</v>
      </c>
      <c r="AD135" s="10">
        <f>IF(OR(Y135&lt;=0,V135&lt;Financiamento_EV!$C$11),0,MIN(MAX(0,Financiamento_EV!$F$5-AA135),MAX(0,Y135-AB135-AC135)))</f>
        <v>0</v>
      </c>
      <c r="AE135" s="10">
        <f t="shared" si="83"/>
        <v>0</v>
      </c>
      <c r="AF135" s="10">
        <f t="shared" si="84"/>
        <v>0</v>
      </c>
      <c r="AG135" s="10">
        <f t="shared" si="85"/>
        <v>0</v>
      </c>
    </row>
    <row r="136" spans="1:33">
      <c r="A136">
        <f t="shared" si="86"/>
        <v>102</v>
      </c>
      <c r="B136" s="10">
        <f t="shared" si="87"/>
        <v>0</v>
      </c>
      <c r="C136" s="10">
        <f>IF(OR(B136&lt;=0,A136&gt;Financiamento_EV!$C$7),0,B136*Financiamento_EV!$C$9)</f>
        <v>0</v>
      </c>
      <c r="D136" s="10">
        <f t="shared" si="73"/>
        <v>0</v>
      </c>
      <c r="E136" s="10">
        <f>IF(D136&lt;=0,0,D136*Financiamento_EV!$C$6)</f>
        <v>0</v>
      </c>
      <c r="F136" s="10">
        <f>IF(D136&lt;=0,0,IF(Financiamento_EV!$C$6=0,D136/(Financiamento_EV!$C$7-A136+1),D136*Financiamento_EV!$C$6/(1-(1+Financiamento_EV!$C$6)^(-(Financiamento_EV!$C$7-A136+1)))))</f>
        <v>0</v>
      </c>
      <c r="G136" s="10">
        <f t="shared" si="74"/>
        <v>0</v>
      </c>
      <c r="H136" s="10">
        <f t="shared" si="75"/>
        <v>0</v>
      </c>
      <c r="I136" s="10">
        <f t="shared" si="76"/>
        <v>0</v>
      </c>
      <c r="K136">
        <f t="shared" si="88"/>
        <v>102</v>
      </c>
      <c r="L136" s="10">
        <f t="shared" si="89"/>
        <v>0</v>
      </c>
      <c r="M136" s="10">
        <f>IF(OR(L136&lt;=0,K136&gt;Financiamento_EV!$C$7),0,L136*Financiamento_EV!$C$9)</f>
        <v>0</v>
      </c>
      <c r="N136" s="10">
        <f t="shared" si="77"/>
        <v>0</v>
      </c>
      <c r="O136" s="10">
        <f>IF(N136&lt;=0,0,N136*Financiamento_EV!$C$6)</f>
        <v>0</v>
      </c>
      <c r="P136" s="10">
        <f>IF(N136&lt;=0,0,IF(Financiamento_EV!$C$6=0,N136/(Financiamento_EV!$C$7-K136+1),N136*Financiamento_EV!$C$6/(1-(1+Financiamento_EV!$C$6)^(-(Financiamento_EV!$C$7-K136+1)))))</f>
        <v>0</v>
      </c>
      <c r="Q136" s="10">
        <f t="shared" si="78"/>
        <v>0</v>
      </c>
      <c r="R136" s="10">
        <f>IF(N136&lt;=0,0,MIN(IF(ISNUMBER(INDEX(Financiamento_EV!$I$17:$I$136,K136)),MAX(0,INDEX(Financiamento_EV!$I$17:$I$136,K136)),IF(K136&gt;=Financiamento_EV!$C$11,Financiamento_EV!$C$10,0)),MAX(0,N136-Q136)))</f>
        <v>0</v>
      </c>
      <c r="S136" s="10">
        <f t="shared" si="79"/>
        <v>0</v>
      </c>
      <c r="T136" s="10">
        <f t="shared" si="80"/>
        <v>0</v>
      </c>
      <c r="V136">
        <f t="shared" si="90"/>
        <v>102</v>
      </c>
      <c r="W136" s="10">
        <f t="shared" si="91"/>
        <v>0</v>
      </c>
      <c r="X136" s="10">
        <f>IF(OR(W136&lt;=0,V136&gt;Financiamento_EV!$C$7),0,W136*Financiamento_EV!$C$9)</f>
        <v>0</v>
      </c>
      <c r="Y136" s="10">
        <f t="shared" si="81"/>
        <v>0</v>
      </c>
      <c r="Z136" s="10">
        <f>IF(Y136&lt;=0,0,Y136*Financiamento_EV!$C$6)</f>
        <v>0</v>
      </c>
      <c r="AA136" s="10">
        <f>IF(Y136&lt;=0,0,IF(Financiamento_EV!$C$6=0,Y136/(Financiamento_EV!$C$7-V136+1),Y136*Financiamento_EV!$C$6/(1-(1+Financiamento_EV!$C$6)^(-(Financiamento_EV!$C$7-V136+1)))))</f>
        <v>0</v>
      </c>
      <c r="AB136" s="10">
        <f t="shared" si="82"/>
        <v>0</v>
      </c>
      <c r="AC136" s="10">
        <f>IF(Y136&lt;=0,0,MIN(IF(ISNUMBER(INDEX(Financiamento_EV!$I$17:$I$136,V136)),MAX(0,INDEX(Financiamento_EV!$I$17:$I$136,V136)),IF(V136&gt;=Financiamento_EV!$C$11,Financiamento_EV!$C$10,0)),MAX(0,Y136-AB136)))</f>
        <v>0</v>
      </c>
      <c r="AD136" s="10">
        <f>IF(OR(Y136&lt;=0,V136&lt;Financiamento_EV!$C$11),0,MIN(MAX(0,Financiamento_EV!$F$5-AA136),MAX(0,Y136-AB136-AC136)))</f>
        <v>0</v>
      </c>
      <c r="AE136" s="10">
        <f t="shared" si="83"/>
        <v>0</v>
      </c>
      <c r="AF136" s="10">
        <f t="shared" si="84"/>
        <v>0</v>
      </c>
      <c r="AG136" s="10">
        <f t="shared" si="85"/>
        <v>0</v>
      </c>
    </row>
    <row r="137" spans="1:33">
      <c r="A137">
        <f t="shared" si="86"/>
        <v>103</v>
      </c>
      <c r="B137" s="10">
        <f t="shared" si="87"/>
        <v>0</v>
      </c>
      <c r="C137" s="10">
        <f>IF(OR(B137&lt;=0,A137&gt;Financiamento_EV!$C$7),0,B137*Financiamento_EV!$C$9)</f>
        <v>0</v>
      </c>
      <c r="D137" s="10">
        <f t="shared" si="73"/>
        <v>0</v>
      </c>
      <c r="E137" s="10">
        <f>IF(D137&lt;=0,0,D137*Financiamento_EV!$C$6)</f>
        <v>0</v>
      </c>
      <c r="F137" s="10">
        <f>IF(D137&lt;=0,0,IF(Financiamento_EV!$C$6=0,D137/(Financiamento_EV!$C$7-A137+1),D137*Financiamento_EV!$C$6/(1-(1+Financiamento_EV!$C$6)^(-(Financiamento_EV!$C$7-A137+1)))))</f>
        <v>0</v>
      </c>
      <c r="G137" s="10">
        <f t="shared" si="74"/>
        <v>0</v>
      </c>
      <c r="H137" s="10">
        <f t="shared" si="75"/>
        <v>0</v>
      </c>
      <c r="I137" s="10">
        <f t="shared" si="76"/>
        <v>0</v>
      </c>
      <c r="K137">
        <f t="shared" si="88"/>
        <v>103</v>
      </c>
      <c r="L137" s="10">
        <f t="shared" si="89"/>
        <v>0</v>
      </c>
      <c r="M137" s="10">
        <f>IF(OR(L137&lt;=0,K137&gt;Financiamento_EV!$C$7),0,L137*Financiamento_EV!$C$9)</f>
        <v>0</v>
      </c>
      <c r="N137" s="10">
        <f t="shared" si="77"/>
        <v>0</v>
      </c>
      <c r="O137" s="10">
        <f>IF(N137&lt;=0,0,N137*Financiamento_EV!$C$6)</f>
        <v>0</v>
      </c>
      <c r="P137" s="10">
        <f>IF(N137&lt;=0,0,IF(Financiamento_EV!$C$6=0,N137/(Financiamento_EV!$C$7-K137+1),N137*Financiamento_EV!$C$6/(1-(1+Financiamento_EV!$C$6)^(-(Financiamento_EV!$C$7-K137+1)))))</f>
        <v>0</v>
      </c>
      <c r="Q137" s="10">
        <f t="shared" si="78"/>
        <v>0</v>
      </c>
      <c r="R137" s="10">
        <f>IF(N137&lt;=0,0,MIN(IF(ISNUMBER(INDEX(Financiamento_EV!$I$17:$I$136,K137)),MAX(0,INDEX(Financiamento_EV!$I$17:$I$136,K137)),IF(K137&gt;=Financiamento_EV!$C$11,Financiamento_EV!$C$10,0)),MAX(0,N137-Q137)))</f>
        <v>0</v>
      </c>
      <c r="S137" s="10">
        <f t="shared" si="79"/>
        <v>0</v>
      </c>
      <c r="T137" s="10">
        <f t="shared" si="80"/>
        <v>0</v>
      </c>
      <c r="V137">
        <f t="shared" si="90"/>
        <v>103</v>
      </c>
      <c r="W137" s="10">
        <f t="shared" si="91"/>
        <v>0</v>
      </c>
      <c r="X137" s="10">
        <f>IF(OR(W137&lt;=0,V137&gt;Financiamento_EV!$C$7),0,W137*Financiamento_EV!$C$9)</f>
        <v>0</v>
      </c>
      <c r="Y137" s="10">
        <f t="shared" si="81"/>
        <v>0</v>
      </c>
      <c r="Z137" s="10">
        <f>IF(Y137&lt;=0,0,Y137*Financiamento_EV!$C$6)</f>
        <v>0</v>
      </c>
      <c r="AA137" s="10">
        <f>IF(Y137&lt;=0,0,IF(Financiamento_EV!$C$6=0,Y137/(Financiamento_EV!$C$7-V137+1),Y137*Financiamento_EV!$C$6/(1-(1+Financiamento_EV!$C$6)^(-(Financiamento_EV!$C$7-V137+1)))))</f>
        <v>0</v>
      </c>
      <c r="AB137" s="10">
        <f t="shared" si="82"/>
        <v>0</v>
      </c>
      <c r="AC137" s="10">
        <f>IF(Y137&lt;=0,0,MIN(IF(ISNUMBER(INDEX(Financiamento_EV!$I$17:$I$136,V137)),MAX(0,INDEX(Financiamento_EV!$I$17:$I$136,V137)),IF(V137&gt;=Financiamento_EV!$C$11,Financiamento_EV!$C$10,0)),MAX(0,Y137-AB137)))</f>
        <v>0</v>
      </c>
      <c r="AD137" s="10">
        <f>IF(OR(Y137&lt;=0,V137&lt;Financiamento_EV!$C$11),0,MIN(MAX(0,Financiamento_EV!$F$5-AA137),MAX(0,Y137-AB137-AC137)))</f>
        <v>0</v>
      </c>
      <c r="AE137" s="10">
        <f t="shared" si="83"/>
        <v>0</v>
      </c>
      <c r="AF137" s="10">
        <f t="shared" si="84"/>
        <v>0</v>
      </c>
      <c r="AG137" s="10">
        <f t="shared" si="85"/>
        <v>0</v>
      </c>
    </row>
    <row r="138" spans="1:33">
      <c r="A138">
        <f t="shared" si="86"/>
        <v>104</v>
      </c>
      <c r="B138" s="10">
        <f t="shared" si="87"/>
        <v>0</v>
      </c>
      <c r="C138" s="10">
        <f>IF(OR(B138&lt;=0,A138&gt;Financiamento_EV!$C$7),0,B138*Financiamento_EV!$C$9)</f>
        <v>0</v>
      </c>
      <c r="D138" s="10">
        <f t="shared" si="73"/>
        <v>0</v>
      </c>
      <c r="E138" s="10">
        <f>IF(D138&lt;=0,0,D138*Financiamento_EV!$C$6)</f>
        <v>0</v>
      </c>
      <c r="F138" s="10">
        <f>IF(D138&lt;=0,0,IF(Financiamento_EV!$C$6=0,D138/(Financiamento_EV!$C$7-A138+1),D138*Financiamento_EV!$C$6/(1-(1+Financiamento_EV!$C$6)^(-(Financiamento_EV!$C$7-A138+1)))))</f>
        <v>0</v>
      </c>
      <c r="G138" s="10">
        <f t="shared" si="74"/>
        <v>0</v>
      </c>
      <c r="H138" s="10">
        <f t="shared" si="75"/>
        <v>0</v>
      </c>
      <c r="I138" s="10">
        <f t="shared" si="76"/>
        <v>0</v>
      </c>
      <c r="K138">
        <f t="shared" si="88"/>
        <v>104</v>
      </c>
      <c r="L138" s="10">
        <f t="shared" si="89"/>
        <v>0</v>
      </c>
      <c r="M138" s="10">
        <f>IF(OR(L138&lt;=0,K138&gt;Financiamento_EV!$C$7),0,L138*Financiamento_EV!$C$9)</f>
        <v>0</v>
      </c>
      <c r="N138" s="10">
        <f t="shared" si="77"/>
        <v>0</v>
      </c>
      <c r="O138" s="10">
        <f>IF(N138&lt;=0,0,N138*Financiamento_EV!$C$6)</f>
        <v>0</v>
      </c>
      <c r="P138" s="10">
        <f>IF(N138&lt;=0,0,IF(Financiamento_EV!$C$6=0,N138/(Financiamento_EV!$C$7-K138+1),N138*Financiamento_EV!$C$6/(1-(1+Financiamento_EV!$C$6)^(-(Financiamento_EV!$C$7-K138+1)))))</f>
        <v>0</v>
      </c>
      <c r="Q138" s="10">
        <f t="shared" si="78"/>
        <v>0</v>
      </c>
      <c r="R138" s="10">
        <f>IF(N138&lt;=0,0,MIN(IF(ISNUMBER(INDEX(Financiamento_EV!$I$17:$I$136,K138)),MAX(0,INDEX(Financiamento_EV!$I$17:$I$136,K138)),IF(K138&gt;=Financiamento_EV!$C$11,Financiamento_EV!$C$10,0)),MAX(0,N138-Q138)))</f>
        <v>0</v>
      </c>
      <c r="S138" s="10">
        <f t="shared" si="79"/>
        <v>0</v>
      </c>
      <c r="T138" s="10">
        <f t="shared" si="80"/>
        <v>0</v>
      </c>
      <c r="V138">
        <f t="shared" si="90"/>
        <v>104</v>
      </c>
      <c r="W138" s="10">
        <f t="shared" si="91"/>
        <v>0</v>
      </c>
      <c r="X138" s="10">
        <f>IF(OR(W138&lt;=0,V138&gt;Financiamento_EV!$C$7),0,W138*Financiamento_EV!$C$9)</f>
        <v>0</v>
      </c>
      <c r="Y138" s="10">
        <f t="shared" si="81"/>
        <v>0</v>
      </c>
      <c r="Z138" s="10">
        <f>IF(Y138&lt;=0,0,Y138*Financiamento_EV!$C$6)</f>
        <v>0</v>
      </c>
      <c r="AA138" s="10">
        <f>IF(Y138&lt;=0,0,IF(Financiamento_EV!$C$6=0,Y138/(Financiamento_EV!$C$7-V138+1),Y138*Financiamento_EV!$C$6/(1-(1+Financiamento_EV!$C$6)^(-(Financiamento_EV!$C$7-V138+1)))))</f>
        <v>0</v>
      </c>
      <c r="AB138" s="10">
        <f t="shared" si="82"/>
        <v>0</v>
      </c>
      <c r="AC138" s="10">
        <f>IF(Y138&lt;=0,0,MIN(IF(ISNUMBER(INDEX(Financiamento_EV!$I$17:$I$136,V138)),MAX(0,INDEX(Financiamento_EV!$I$17:$I$136,V138)),IF(V138&gt;=Financiamento_EV!$C$11,Financiamento_EV!$C$10,0)),MAX(0,Y138-AB138)))</f>
        <v>0</v>
      </c>
      <c r="AD138" s="10">
        <f>IF(OR(Y138&lt;=0,V138&lt;Financiamento_EV!$C$11),0,MIN(MAX(0,Financiamento_EV!$F$5-AA138),MAX(0,Y138-AB138-AC138)))</f>
        <v>0</v>
      </c>
      <c r="AE138" s="10">
        <f t="shared" si="83"/>
        <v>0</v>
      </c>
      <c r="AF138" s="10">
        <f t="shared" si="84"/>
        <v>0</v>
      </c>
      <c r="AG138" s="10">
        <f t="shared" si="85"/>
        <v>0</v>
      </c>
    </row>
    <row r="139" spans="1:33">
      <c r="A139">
        <f t="shared" si="86"/>
        <v>105</v>
      </c>
      <c r="B139" s="10">
        <f t="shared" si="87"/>
        <v>0</v>
      </c>
      <c r="C139" s="10">
        <f>IF(OR(B139&lt;=0,A139&gt;Financiamento_EV!$C$7),0,B139*Financiamento_EV!$C$9)</f>
        <v>0</v>
      </c>
      <c r="D139" s="10">
        <f t="shared" si="73"/>
        <v>0</v>
      </c>
      <c r="E139" s="10">
        <f>IF(D139&lt;=0,0,D139*Financiamento_EV!$C$6)</f>
        <v>0</v>
      </c>
      <c r="F139" s="10">
        <f>IF(D139&lt;=0,0,IF(Financiamento_EV!$C$6=0,D139/(Financiamento_EV!$C$7-A139+1),D139*Financiamento_EV!$C$6/(1-(1+Financiamento_EV!$C$6)^(-(Financiamento_EV!$C$7-A139+1)))))</f>
        <v>0</v>
      </c>
      <c r="G139" s="10">
        <f t="shared" si="74"/>
        <v>0</v>
      </c>
      <c r="H139" s="10">
        <f t="shared" si="75"/>
        <v>0</v>
      </c>
      <c r="I139" s="10">
        <f t="shared" si="76"/>
        <v>0</v>
      </c>
      <c r="K139">
        <f t="shared" si="88"/>
        <v>105</v>
      </c>
      <c r="L139" s="10">
        <f t="shared" si="89"/>
        <v>0</v>
      </c>
      <c r="M139" s="10">
        <f>IF(OR(L139&lt;=0,K139&gt;Financiamento_EV!$C$7),0,L139*Financiamento_EV!$C$9)</f>
        <v>0</v>
      </c>
      <c r="N139" s="10">
        <f t="shared" si="77"/>
        <v>0</v>
      </c>
      <c r="O139" s="10">
        <f>IF(N139&lt;=0,0,N139*Financiamento_EV!$C$6)</f>
        <v>0</v>
      </c>
      <c r="P139" s="10">
        <f>IF(N139&lt;=0,0,IF(Financiamento_EV!$C$6=0,N139/(Financiamento_EV!$C$7-K139+1),N139*Financiamento_EV!$C$6/(1-(1+Financiamento_EV!$C$6)^(-(Financiamento_EV!$C$7-K139+1)))))</f>
        <v>0</v>
      </c>
      <c r="Q139" s="10">
        <f t="shared" si="78"/>
        <v>0</v>
      </c>
      <c r="R139" s="10">
        <f>IF(N139&lt;=0,0,MIN(IF(ISNUMBER(INDEX(Financiamento_EV!$I$17:$I$136,K139)),MAX(0,INDEX(Financiamento_EV!$I$17:$I$136,K139)),IF(K139&gt;=Financiamento_EV!$C$11,Financiamento_EV!$C$10,0)),MAX(0,N139-Q139)))</f>
        <v>0</v>
      </c>
      <c r="S139" s="10">
        <f t="shared" si="79"/>
        <v>0</v>
      </c>
      <c r="T139" s="10">
        <f t="shared" si="80"/>
        <v>0</v>
      </c>
      <c r="V139">
        <f t="shared" si="90"/>
        <v>105</v>
      </c>
      <c r="W139" s="10">
        <f t="shared" si="91"/>
        <v>0</v>
      </c>
      <c r="X139" s="10">
        <f>IF(OR(W139&lt;=0,V139&gt;Financiamento_EV!$C$7),0,W139*Financiamento_EV!$C$9)</f>
        <v>0</v>
      </c>
      <c r="Y139" s="10">
        <f t="shared" si="81"/>
        <v>0</v>
      </c>
      <c r="Z139" s="10">
        <f>IF(Y139&lt;=0,0,Y139*Financiamento_EV!$C$6)</f>
        <v>0</v>
      </c>
      <c r="AA139" s="10">
        <f>IF(Y139&lt;=0,0,IF(Financiamento_EV!$C$6=0,Y139/(Financiamento_EV!$C$7-V139+1),Y139*Financiamento_EV!$C$6/(1-(1+Financiamento_EV!$C$6)^(-(Financiamento_EV!$C$7-V139+1)))))</f>
        <v>0</v>
      </c>
      <c r="AB139" s="10">
        <f t="shared" si="82"/>
        <v>0</v>
      </c>
      <c r="AC139" s="10">
        <f>IF(Y139&lt;=0,0,MIN(IF(ISNUMBER(INDEX(Financiamento_EV!$I$17:$I$136,V139)),MAX(0,INDEX(Financiamento_EV!$I$17:$I$136,V139)),IF(V139&gt;=Financiamento_EV!$C$11,Financiamento_EV!$C$10,0)),MAX(0,Y139-AB139)))</f>
        <v>0</v>
      </c>
      <c r="AD139" s="10">
        <f>IF(OR(Y139&lt;=0,V139&lt;Financiamento_EV!$C$11),0,MIN(MAX(0,Financiamento_EV!$F$5-AA139),MAX(0,Y139-AB139-AC139)))</f>
        <v>0</v>
      </c>
      <c r="AE139" s="10">
        <f t="shared" si="83"/>
        <v>0</v>
      </c>
      <c r="AF139" s="10">
        <f t="shared" si="84"/>
        <v>0</v>
      </c>
      <c r="AG139" s="10">
        <f t="shared" si="85"/>
        <v>0</v>
      </c>
    </row>
    <row r="140" spans="1:33">
      <c r="A140">
        <f t="shared" si="86"/>
        <v>106</v>
      </c>
      <c r="B140" s="10">
        <f t="shared" si="87"/>
        <v>0</v>
      </c>
      <c r="C140" s="10">
        <f>IF(OR(B140&lt;=0,A140&gt;Financiamento_EV!$C$7),0,B140*Financiamento_EV!$C$9)</f>
        <v>0</v>
      </c>
      <c r="D140" s="10">
        <f t="shared" si="73"/>
        <v>0</v>
      </c>
      <c r="E140" s="10">
        <f>IF(D140&lt;=0,0,D140*Financiamento_EV!$C$6)</f>
        <v>0</v>
      </c>
      <c r="F140" s="10">
        <f>IF(D140&lt;=0,0,IF(Financiamento_EV!$C$6=0,D140/(Financiamento_EV!$C$7-A140+1),D140*Financiamento_EV!$C$6/(1-(1+Financiamento_EV!$C$6)^(-(Financiamento_EV!$C$7-A140+1)))))</f>
        <v>0</v>
      </c>
      <c r="G140" s="10">
        <f t="shared" si="74"/>
        <v>0</v>
      </c>
      <c r="H140" s="10">
        <f t="shared" si="75"/>
        <v>0</v>
      </c>
      <c r="I140" s="10">
        <f t="shared" si="76"/>
        <v>0</v>
      </c>
      <c r="K140">
        <f t="shared" si="88"/>
        <v>106</v>
      </c>
      <c r="L140" s="10">
        <f t="shared" si="89"/>
        <v>0</v>
      </c>
      <c r="M140" s="10">
        <f>IF(OR(L140&lt;=0,K140&gt;Financiamento_EV!$C$7),0,L140*Financiamento_EV!$C$9)</f>
        <v>0</v>
      </c>
      <c r="N140" s="10">
        <f t="shared" si="77"/>
        <v>0</v>
      </c>
      <c r="O140" s="10">
        <f>IF(N140&lt;=0,0,N140*Financiamento_EV!$C$6)</f>
        <v>0</v>
      </c>
      <c r="P140" s="10">
        <f>IF(N140&lt;=0,0,IF(Financiamento_EV!$C$6=0,N140/(Financiamento_EV!$C$7-K140+1),N140*Financiamento_EV!$C$6/(1-(1+Financiamento_EV!$C$6)^(-(Financiamento_EV!$C$7-K140+1)))))</f>
        <v>0</v>
      </c>
      <c r="Q140" s="10">
        <f t="shared" si="78"/>
        <v>0</v>
      </c>
      <c r="R140" s="10">
        <f>IF(N140&lt;=0,0,MIN(IF(ISNUMBER(INDEX(Financiamento_EV!$I$17:$I$136,K140)),MAX(0,INDEX(Financiamento_EV!$I$17:$I$136,K140)),IF(K140&gt;=Financiamento_EV!$C$11,Financiamento_EV!$C$10,0)),MAX(0,N140-Q140)))</f>
        <v>0</v>
      </c>
      <c r="S140" s="10">
        <f t="shared" si="79"/>
        <v>0</v>
      </c>
      <c r="T140" s="10">
        <f t="shared" si="80"/>
        <v>0</v>
      </c>
      <c r="V140">
        <f t="shared" si="90"/>
        <v>106</v>
      </c>
      <c r="W140" s="10">
        <f t="shared" si="91"/>
        <v>0</v>
      </c>
      <c r="X140" s="10">
        <f>IF(OR(W140&lt;=0,V140&gt;Financiamento_EV!$C$7),0,W140*Financiamento_EV!$C$9)</f>
        <v>0</v>
      </c>
      <c r="Y140" s="10">
        <f t="shared" si="81"/>
        <v>0</v>
      </c>
      <c r="Z140" s="10">
        <f>IF(Y140&lt;=0,0,Y140*Financiamento_EV!$C$6)</f>
        <v>0</v>
      </c>
      <c r="AA140" s="10">
        <f>IF(Y140&lt;=0,0,IF(Financiamento_EV!$C$6=0,Y140/(Financiamento_EV!$C$7-V140+1),Y140*Financiamento_EV!$C$6/(1-(1+Financiamento_EV!$C$6)^(-(Financiamento_EV!$C$7-V140+1)))))</f>
        <v>0</v>
      </c>
      <c r="AB140" s="10">
        <f t="shared" si="82"/>
        <v>0</v>
      </c>
      <c r="AC140" s="10">
        <f>IF(Y140&lt;=0,0,MIN(IF(ISNUMBER(INDEX(Financiamento_EV!$I$17:$I$136,V140)),MAX(0,INDEX(Financiamento_EV!$I$17:$I$136,V140)),IF(V140&gt;=Financiamento_EV!$C$11,Financiamento_EV!$C$10,0)),MAX(0,Y140-AB140)))</f>
        <v>0</v>
      </c>
      <c r="AD140" s="10">
        <f>IF(OR(Y140&lt;=0,V140&lt;Financiamento_EV!$C$11),0,MIN(MAX(0,Financiamento_EV!$F$5-AA140),MAX(0,Y140-AB140-AC140)))</f>
        <v>0</v>
      </c>
      <c r="AE140" s="10">
        <f t="shared" si="83"/>
        <v>0</v>
      </c>
      <c r="AF140" s="10">
        <f t="shared" si="84"/>
        <v>0</v>
      </c>
      <c r="AG140" s="10">
        <f t="shared" si="85"/>
        <v>0</v>
      </c>
    </row>
    <row r="141" spans="1:33">
      <c r="A141">
        <f t="shared" si="86"/>
        <v>107</v>
      </c>
      <c r="B141" s="10">
        <f t="shared" si="87"/>
        <v>0</v>
      </c>
      <c r="C141" s="10">
        <f>IF(OR(B141&lt;=0,A141&gt;Financiamento_EV!$C$7),0,B141*Financiamento_EV!$C$9)</f>
        <v>0</v>
      </c>
      <c r="D141" s="10">
        <f t="shared" si="73"/>
        <v>0</v>
      </c>
      <c r="E141" s="10">
        <f>IF(D141&lt;=0,0,D141*Financiamento_EV!$C$6)</f>
        <v>0</v>
      </c>
      <c r="F141" s="10">
        <f>IF(D141&lt;=0,0,IF(Financiamento_EV!$C$6=0,D141/(Financiamento_EV!$C$7-A141+1),D141*Financiamento_EV!$C$6/(1-(1+Financiamento_EV!$C$6)^(-(Financiamento_EV!$C$7-A141+1)))))</f>
        <v>0</v>
      </c>
      <c r="G141" s="10">
        <f t="shared" si="74"/>
        <v>0</v>
      </c>
      <c r="H141" s="10">
        <f t="shared" si="75"/>
        <v>0</v>
      </c>
      <c r="I141" s="10">
        <f t="shared" si="76"/>
        <v>0</v>
      </c>
      <c r="K141">
        <f t="shared" si="88"/>
        <v>107</v>
      </c>
      <c r="L141" s="10">
        <f t="shared" si="89"/>
        <v>0</v>
      </c>
      <c r="M141" s="10">
        <f>IF(OR(L141&lt;=0,K141&gt;Financiamento_EV!$C$7),0,L141*Financiamento_EV!$C$9)</f>
        <v>0</v>
      </c>
      <c r="N141" s="10">
        <f t="shared" si="77"/>
        <v>0</v>
      </c>
      <c r="O141" s="10">
        <f>IF(N141&lt;=0,0,N141*Financiamento_EV!$C$6)</f>
        <v>0</v>
      </c>
      <c r="P141" s="10">
        <f>IF(N141&lt;=0,0,IF(Financiamento_EV!$C$6=0,N141/(Financiamento_EV!$C$7-K141+1),N141*Financiamento_EV!$C$6/(1-(1+Financiamento_EV!$C$6)^(-(Financiamento_EV!$C$7-K141+1)))))</f>
        <v>0</v>
      </c>
      <c r="Q141" s="10">
        <f t="shared" si="78"/>
        <v>0</v>
      </c>
      <c r="R141" s="10">
        <f>IF(N141&lt;=0,0,MIN(IF(ISNUMBER(INDEX(Financiamento_EV!$I$17:$I$136,K141)),MAX(0,INDEX(Financiamento_EV!$I$17:$I$136,K141)),IF(K141&gt;=Financiamento_EV!$C$11,Financiamento_EV!$C$10,0)),MAX(0,N141-Q141)))</f>
        <v>0</v>
      </c>
      <c r="S141" s="10">
        <f t="shared" si="79"/>
        <v>0</v>
      </c>
      <c r="T141" s="10">
        <f t="shared" si="80"/>
        <v>0</v>
      </c>
      <c r="V141">
        <f t="shared" si="90"/>
        <v>107</v>
      </c>
      <c r="W141" s="10">
        <f t="shared" si="91"/>
        <v>0</v>
      </c>
      <c r="X141" s="10">
        <f>IF(OR(W141&lt;=0,V141&gt;Financiamento_EV!$C$7),0,W141*Financiamento_EV!$C$9)</f>
        <v>0</v>
      </c>
      <c r="Y141" s="10">
        <f t="shared" si="81"/>
        <v>0</v>
      </c>
      <c r="Z141" s="10">
        <f>IF(Y141&lt;=0,0,Y141*Financiamento_EV!$C$6)</f>
        <v>0</v>
      </c>
      <c r="AA141" s="10">
        <f>IF(Y141&lt;=0,0,IF(Financiamento_EV!$C$6=0,Y141/(Financiamento_EV!$C$7-V141+1),Y141*Financiamento_EV!$C$6/(1-(1+Financiamento_EV!$C$6)^(-(Financiamento_EV!$C$7-V141+1)))))</f>
        <v>0</v>
      </c>
      <c r="AB141" s="10">
        <f t="shared" si="82"/>
        <v>0</v>
      </c>
      <c r="AC141" s="10">
        <f>IF(Y141&lt;=0,0,MIN(IF(ISNUMBER(INDEX(Financiamento_EV!$I$17:$I$136,V141)),MAX(0,INDEX(Financiamento_EV!$I$17:$I$136,V141)),IF(V141&gt;=Financiamento_EV!$C$11,Financiamento_EV!$C$10,0)),MAX(0,Y141-AB141)))</f>
        <v>0</v>
      </c>
      <c r="AD141" s="10">
        <f>IF(OR(Y141&lt;=0,V141&lt;Financiamento_EV!$C$11),0,MIN(MAX(0,Financiamento_EV!$F$5-AA141),MAX(0,Y141-AB141-AC141)))</f>
        <v>0</v>
      </c>
      <c r="AE141" s="10">
        <f t="shared" si="83"/>
        <v>0</v>
      </c>
      <c r="AF141" s="10">
        <f t="shared" si="84"/>
        <v>0</v>
      </c>
      <c r="AG141" s="10">
        <f t="shared" si="85"/>
        <v>0</v>
      </c>
    </row>
    <row r="142" spans="1:33">
      <c r="A142">
        <f t="shared" si="86"/>
        <v>108</v>
      </c>
      <c r="B142" s="10">
        <f t="shared" si="87"/>
        <v>0</v>
      </c>
      <c r="C142" s="10">
        <f>IF(OR(B142&lt;=0,A142&gt;Financiamento_EV!$C$7),0,B142*Financiamento_EV!$C$9)</f>
        <v>0</v>
      </c>
      <c r="D142" s="10">
        <f t="shared" si="73"/>
        <v>0</v>
      </c>
      <c r="E142" s="10">
        <f>IF(D142&lt;=0,0,D142*Financiamento_EV!$C$6)</f>
        <v>0</v>
      </c>
      <c r="F142" s="10">
        <f>IF(D142&lt;=0,0,IF(Financiamento_EV!$C$6=0,D142/(Financiamento_EV!$C$7-A142+1),D142*Financiamento_EV!$C$6/(1-(1+Financiamento_EV!$C$6)^(-(Financiamento_EV!$C$7-A142+1)))))</f>
        <v>0</v>
      </c>
      <c r="G142" s="10">
        <f t="shared" si="74"/>
        <v>0</v>
      </c>
      <c r="H142" s="10">
        <f t="shared" si="75"/>
        <v>0</v>
      </c>
      <c r="I142" s="10">
        <f t="shared" si="76"/>
        <v>0</v>
      </c>
      <c r="K142">
        <f t="shared" si="88"/>
        <v>108</v>
      </c>
      <c r="L142" s="10">
        <f t="shared" si="89"/>
        <v>0</v>
      </c>
      <c r="M142" s="10">
        <f>IF(OR(L142&lt;=0,K142&gt;Financiamento_EV!$C$7),0,L142*Financiamento_EV!$C$9)</f>
        <v>0</v>
      </c>
      <c r="N142" s="10">
        <f t="shared" si="77"/>
        <v>0</v>
      </c>
      <c r="O142" s="10">
        <f>IF(N142&lt;=0,0,N142*Financiamento_EV!$C$6)</f>
        <v>0</v>
      </c>
      <c r="P142" s="10">
        <f>IF(N142&lt;=0,0,IF(Financiamento_EV!$C$6=0,N142/(Financiamento_EV!$C$7-K142+1),N142*Financiamento_EV!$C$6/(1-(1+Financiamento_EV!$C$6)^(-(Financiamento_EV!$C$7-K142+1)))))</f>
        <v>0</v>
      </c>
      <c r="Q142" s="10">
        <f t="shared" si="78"/>
        <v>0</v>
      </c>
      <c r="R142" s="10">
        <f>IF(N142&lt;=0,0,MIN(IF(ISNUMBER(INDEX(Financiamento_EV!$I$17:$I$136,K142)),MAX(0,INDEX(Financiamento_EV!$I$17:$I$136,K142)),IF(K142&gt;=Financiamento_EV!$C$11,Financiamento_EV!$C$10,0)),MAX(0,N142-Q142)))</f>
        <v>0</v>
      </c>
      <c r="S142" s="10">
        <f t="shared" si="79"/>
        <v>0</v>
      </c>
      <c r="T142" s="10">
        <f t="shared" si="80"/>
        <v>0</v>
      </c>
      <c r="V142">
        <f t="shared" si="90"/>
        <v>108</v>
      </c>
      <c r="W142" s="10">
        <f t="shared" si="91"/>
        <v>0</v>
      </c>
      <c r="X142" s="10">
        <f>IF(OR(W142&lt;=0,V142&gt;Financiamento_EV!$C$7),0,W142*Financiamento_EV!$C$9)</f>
        <v>0</v>
      </c>
      <c r="Y142" s="10">
        <f t="shared" si="81"/>
        <v>0</v>
      </c>
      <c r="Z142" s="10">
        <f>IF(Y142&lt;=0,0,Y142*Financiamento_EV!$C$6)</f>
        <v>0</v>
      </c>
      <c r="AA142" s="10">
        <f>IF(Y142&lt;=0,0,IF(Financiamento_EV!$C$6=0,Y142/(Financiamento_EV!$C$7-V142+1),Y142*Financiamento_EV!$C$6/(1-(1+Financiamento_EV!$C$6)^(-(Financiamento_EV!$C$7-V142+1)))))</f>
        <v>0</v>
      </c>
      <c r="AB142" s="10">
        <f t="shared" si="82"/>
        <v>0</v>
      </c>
      <c r="AC142" s="10">
        <f>IF(Y142&lt;=0,0,MIN(IF(ISNUMBER(INDEX(Financiamento_EV!$I$17:$I$136,V142)),MAX(0,INDEX(Financiamento_EV!$I$17:$I$136,V142)),IF(V142&gt;=Financiamento_EV!$C$11,Financiamento_EV!$C$10,0)),MAX(0,Y142-AB142)))</f>
        <v>0</v>
      </c>
      <c r="AD142" s="10">
        <f>IF(OR(Y142&lt;=0,V142&lt;Financiamento_EV!$C$11),0,MIN(MAX(0,Financiamento_EV!$F$5-AA142),MAX(0,Y142-AB142-AC142)))</f>
        <v>0</v>
      </c>
      <c r="AE142" s="10">
        <f t="shared" si="83"/>
        <v>0</v>
      </c>
      <c r="AF142" s="10">
        <f t="shared" si="84"/>
        <v>0</v>
      </c>
      <c r="AG142" s="10">
        <f t="shared" si="85"/>
        <v>0</v>
      </c>
    </row>
    <row r="143" spans="1:33">
      <c r="A143">
        <f t="shared" si="86"/>
        <v>109</v>
      </c>
      <c r="B143" s="10">
        <f t="shared" si="87"/>
        <v>0</v>
      </c>
      <c r="C143" s="10">
        <f>IF(OR(B143&lt;=0,A143&gt;Financiamento_EV!$C$7),0,B143*Financiamento_EV!$C$9)</f>
        <v>0</v>
      </c>
      <c r="D143" s="10">
        <f t="shared" si="73"/>
        <v>0</v>
      </c>
      <c r="E143" s="10">
        <f>IF(D143&lt;=0,0,D143*Financiamento_EV!$C$6)</f>
        <v>0</v>
      </c>
      <c r="F143" s="10">
        <f>IF(D143&lt;=0,0,IF(Financiamento_EV!$C$6=0,D143/(Financiamento_EV!$C$7-A143+1),D143*Financiamento_EV!$C$6/(1-(1+Financiamento_EV!$C$6)^(-(Financiamento_EV!$C$7-A143+1)))))</f>
        <v>0</v>
      </c>
      <c r="G143" s="10">
        <f t="shared" si="74"/>
        <v>0</v>
      </c>
      <c r="H143" s="10">
        <f t="shared" si="75"/>
        <v>0</v>
      </c>
      <c r="I143" s="10">
        <f t="shared" si="76"/>
        <v>0</v>
      </c>
      <c r="K143">
        <f t="shared" si="88"/>
        <v>109</v>
      </c>
      <c r="L143" s="10">
        <f t="shared" si="89"/>
        <v>0</v>
      </c>
      <c r="M143" s="10">
        <f>IF(OR(L143&lt;=0,K143&gt;Financiamento_EV!$C$7),0,L143*Financiamento_EV!$C$9)</f>
        <v>0</v>
      </c>
      <c r="N143" s="10">
        <f t="shared" si="77"/>
        <v>0</v>
      </c>
      <c r="O143" s="10">
        <f>IF(N143&lt;=0,0,N143*Financiamento_EV!$C$6)</f>
        <v>0</v>
      </c>
      <c r="P143" s="10">
        <f>IF(N143&lt;=0,0,IF(Financiamento_EV!$C$6=0,N143/(Financiamento_EV!$C$7-K143+1),N143*Financiamento_EV!$C$6/(1-(1+Financiamento_EV!$C$6)^(-(Financiamento_EV!$C$7-K143+1)))))</f>
        <v>0</v>
      </c>
      <c r="Q143" s="10">
        <f t="shared" si="78"/>
        <v>0</v>
      </c>
      <c r="R143" s="10">
        <f>IF(N143&lt;=0,0,MIN(IF(ISNUMBER(INDEX(Financiamento_EV!$I$17:$I$136,K143)),MAX(0,INDEX(Financiamento_EV!$I$17:$I$136,K143)),IF(K143&gt;=Financiamento_EV!$C$11,Financiamento_EV!$C$10,0)),MAX(0,N143-Q143)))</f>
        <v>0</v>
      </c>
      <c r="S143" s="10">
        <f t="shared" si="79"/>
        <v>0</v>
      </c>
      <c r="T143" s="10">
        <f t="shared" si="80"/>
        <v>0</v>
      </c>
      <c r="V143">
        <f t="shared" si="90"/>
        <v>109</v>
      </c>
      <c r="W143" s="10">
        <f t="shared" si="91"/>
        <v>0</v>
      </c>
      <c r="X143" s="10">
        <f>IF(OR(W143&lt;=0,V143&gt;Financiamento_EV!$C$7),0,W143*Financiamento_EV!$C$9)</f>
        <v>0</v>
      </c>
      <c r="Y143" s="10">
        <f t="shared" si="81"/>
        <v>0</v>
      </c>
      <c r="Z143" s="10">
        <f>IF(Y143&lt;=0,0,Y143*Financiamento_EV!$C$6)</f>
        <v>0</v>
      </c>
      <c r="AA143" s="10">
        <f>IF(Y143&lt;=0,0,IF(Financiamento_EV!$C$6=0,Y143/(Financiamento_EV!$C$7-V143+1),Y143*Financiamento_EV!$C$6/(1-(1+Financiamento_EV!$C$6)^(-(Financiamento_EV!$C$7-V143+1)))))</f>
        <v>0</v>
      </c>
      <c r="AB143" s="10">
        <f t="shared" si="82"/>
        <v>0</v>
      </c>
      <c r="AC143" s="10">
        <f>IF(Y143&lt;=0,0,MIN(IF(ISNUMBER(INDEX(Financiamento_EV!$I$17:$I$136,V143)),MAX(0,INDEX(Financiamento_EV!$I$17:$I$136,V143)),IF(V143&gt;=Financiamento_EV!$C$11,Financiamento_EV!$C$10,0)),MAX(0,Y143-AB143)))</f>
        <v>0</v>
      </c>
      <c r="AD143" s="10">
        <f>IF(OR(Y143&lt;=0,V143&lt;Financiamento_EV!$C$11),0,MIN(MAX(0,Financiamento_EV!$F$5-AA143),MAX(0,Y143-AB143-AC143)))</f>
        <v>0</v>
      </c>
      <c r="AE143" s="10">
        <f t="shared" si="83"/>
        <v>0</v>
      </c>
      <c r="AF143" s="10">
        <f t="shared" si="84"/>
        <v>0</v>
      </c>
      <c r="AG143" s="10">
        <f t="shared" si="85"/>
        <v>0</v>
      </c>
    </row>
    <row r="144" spans="1:33">
      <c r="A144">
        <f t="shared" si="86"/>
        <v>110</v>
      </c>
      <c r="B144" s="10">
        <f t="shared" si="87"/>
        <v>0</v>
      </c>
      <c r="C144" s="10">
        <f>IF(OR(B144&lt;=0,A144&gt;Financiamento_EV!$C$7),0,B144*Financiamento_EV!$C$9)</f>
        <v>0</v>
      </c>
      <c r="D144" s="10">
        <f t="shared" si="73"/>
        <v>0</v>
      </c>
      <c r="E144" s="10">
        <f>IF(D144&lt;=0,0,D144*Financiamento_EV!$C$6)</f>
        <v>0</v>
      </c>
      <c r="F144" s="10">
        <f>IF(D144&lt;=0,0,IF(Financiamento_EV!$C$6=0,D144/(Financiamento_EV!$C$7-A144+1),D144*Financiamento_EV!$C$6/(1-(1+Financiamento_EV!$C$6)^(-(Financiamento_EV!$C$7-A144+1)))))</f>
        <v>0</v>
      </c>
      <c r="G144" s="10">
        <f t="shared" si="74"/>
        <v>0</v>
      </c>
      <c r="H144" s="10">
        <f t="shared" si="75"/>
        <v>0</v>
      </c>
      <c r="I144" s="10">
        <f t="shared" si="76"/>
        <v>0</v>
      </c>
      <c r="K144">
        <f t="shared" si="88"/>
        <v>110</v>
      </c>
      <c r="L144" s="10">
        <f t="shared" si="89"/>
        <v>0</v>
      </c>
      <c r="M144" s="10">
        <f>IF(OR(L144&lt;=0,K144&gt;Financiamento_EV!$C$7),0,L144*Financiamento_EV!$C$9)</f>
        <v>0</v>
      </c>
      <c r="N144" s="10">
        <f t="shared" si="77"/>
        <v>0</v>
      </c>
      <c r="O144" s="10">
        <f>IF(N144&lt;=0,0,N144*Financiamento_EV!$C$6)</f>
        <v>0</v>
      </c>
      <c r="P144" s="10">
        <f>IF(N144&lt;=0,0,IF(Financiamento_EV!$C$6=0,N144/(Financiamento_EV!$C$7-K144+1),N144*Financiamento_EV!$C$6/(1-(1+Financiamento_EV!$C$6)^(-(Financiamento_EV!$C$7-K144+1)))))</f>
        <v>0</v>
      </c>
      <c r="Q144" s="10">
        <f t="shared" si="78"/>
        <v>0</v>
      </c>
      <c r="R144" s="10">
        <f>IF(N144&lt;=0,0,MIN(IF(ISNUMBER(INDEX(Financiamento_EV!$I$17:$I$136,K144)),MAX(0,INDEX(Financiamento_EV!$I$17:$I$136,K144)),IF(K144&gt;=Financiamento_EV!$C$11,Financiamento_EV!$C$10,0)),MAX(0,N144-Q144)))</f>
        <v>0</v>
      </c>
      <c r="S144" s="10">
        <f t="shared" si="79"/>
        <v>0</v>
      </c>
      <c r="T144" s="10">
        <f t="shared" si="80"/>
        <v>0</v>
      </c>
      <c r="V144">
        <f t="shared" si="90"/>
        <v>110</v>
      </c>
      <c r="W144" s="10">
        <f t="shared" si="91"/>
        <v>0</v>
      </c>
      <c r="X144" s="10">
        <f>IF(OR(W144&lt;=0,V144&gt;Financiamento_EV!$C$7),0,W144*Financiamento_EV!$C$9)</f>
        <v>0</v>
      </c>
      <c r="Y144" s="10">
        <f t="shared" si="81"/>
        <v>0</v>
      </c>
      <c r="Z144" s="10">
        <f>IF(Y144&lt;=0,0,Y144*Financiamento_EV!$C$6)</f>
        <v>0</v>
      </c>
      <c r="AA144" s="10">
        <f>IF(Y144&lt;=0,0,IF(Financiamento_EV!$C$6=0,Y144/(Financiamento_EV!$C$7-V144+1),Y144*Financiamento_EV!$C$6/(1-(1+Financiamento_EV!$C$6)^(-(Financiamento_EV!$C$7-V144+1)))))</f>
        <v>0</v>
      </c>
      <c r="AB144" s="10">
        <f t="shared" si="82"/>
        <v>0</v>
      </c>
      <c r="AC144" s="10">
        <f>IF(Y144&lt;=0,0,MIN(IF(ISNUMBER(INDEX(Financiamento_EV!$I$17:$I$136,V144)),MAX(0,INDEX(Financiamento_EV!$I$17:$I$136,V144)),IF(V144&gt;=Financiamento_EV!$C$11,Financiamento_EV!$C$10,0)),MAX(0,Y144-AB144)))</f>
        <v>0</v>
      </c>
      <c r="AD144" s="10">
        <f>IF(OR(Y144&lt;=0,V144&lt;Financiamento_EV!$C$11),0,MIN(MAX(0,Financiamento_EV!$F$5-AA144),MAX(0,Y144-AB144-AC144)))</f>
        <v>0</v>
      </c>
      <c r="AE144" s="10">
        <f t="shared" si="83"/>
        <v>0</v>
      </c>
      <c r="AF144" s="10">
        <f t="shared" si="84"/>
        <v>0</v>
      </c>
      <c r="AG144" s="10">
        <f t="shared" si="85"/>
        <v>0</v>
      </c>
    </row>
    <row r="145" spans="1:33">
      <c r="A145">
        <f t="shared" si="86"/>
        <v>111</v>
      </c>
      <c r="B145" s="10">
        <f t="shared" si="87"/>
        <v>0</v>
      </c>
      <c r="C145" s="10">
        <f>IF(OR(B145&lt;=0,A145&gt;Financiamento_EV!$C$7),0,B145*Financiamento_EV!$C$9)</f>
        <v>0</v>
      </c>
      <c r="D145" s="10">
        <f t="shared" si="73"/>
        <v>0</v>
      </c>
      <c r="E145" s="10">
        <f>IF(D145&lt;=0,0,D145*Financiamento_EV!$C$6)</f>
        <v>0</v>
      </c>
      <c r="F145" s="10">
        <f>IF(D145&lt;=0,0,IF(Financiamento_EV!$C$6=0,D145/(Financiamento_EV!$C$7-A145+1),D145*Financiamento_EV!$C$6/(1-(1+Financiamento_EV!$C$6)^(-(Financiamento_EV!$C$7-A145+1)))))</f>
        <v>0</v>
      </c>
      <c r="G145" s="10">
        <f t="shared" si="74"/>
        <v>0</v>
      </c>
      <c r="H145" s="10">
        <f t="shared" si="75"/>
        <v>0</v>
      </c>
      <c r="I145" s="10">
        <f t="shared" si="76"/>
        <v>0</v>
      </c>
      <c r="K145">
        <f t="shared" si="88"/>
        <v>111</v>
      </c>
      <c r="L145" s="10">
        <f t="shared" si="89"/>
        <v>0</v>
      </c>
      <c r="M145" s="10">
        <f>IF(OR(L145&lt;=0,K145&gt;Financiamento_EV!$C$7),0,L145*Financiamento_EV!$C$9)</f>
        <v>0</v>
      </c>
      <c r="N145" s="10">
        <f t="shared" si="77"/>
        <v>0</v>
      </c>
      <c r="O145" s="10">
        <f>IF(N145&lt;=0,0,N145*Financiamento_EV!$C$6)</f>
        <v>0</v>
      </c>
      <c r="P145" s="10">
        <f>IF(N145&lt;=0,0,IF(Financiamento_EV!$C$6=0,N145/(Financiamento_EV!$C$7-K145+1),N145*Financiamento_EV!$C$6/(1-(1+Financiamento_EV!$C$6)^(-(Financiamento_EV!$C$7-K145+1)))))</f>
        <v>0</v>
      </c>
      <c r="Q145" s="10">
        <f t="shared" si="78"/>
        <v>0</v>
      </c>
      <c r="R145" s="10">
        <f>IF(N145&lt;=0,0,MIN(IF(ISNUMBER(INDEX(Financiamento_EV!$I$17:$I$136,K145)),MAX(0,INDEX(Financiamento_EV!$I$17:$I$136,K145)),IF(K145&gt;=Financiamento_EV!$C$11,Financiamento_EV!$C$10,0)),MAX(0,N145-Q145)))</f>
        <v>0</v>
      </c>
      <c r="S145" s="10">
        <f t="shared" si="79"/>
        <v>0</v>
      </c>
      <c r="T145" s="10">
        <f t="shared" si="80"/>
        <v>0</v>
      </c>
      <c r="V145">
        <f t="shared" si="90"/>
        <v>111</v>
      </c>
      <c r="W145" s="10">
        <f t="shared" si="91"/>
        <v>0</v>
      </c>
      <c r="X145" s="10">
        <f>IF(OR(W145&lt;=0,V145&gt;Financiamento_EV!$C$7),0,W145*Financiamento_EV!$C$9)</f>
        <v>0</v>
      </c>
      <c r="Y145" s="10">
        <f t="shared" si="81"/>
        <v>0</v>
      </c>
      <c r="Z145" s="10">
        <f>IF(Y145&lt;=0,0,Y145*Financiamento_EV!$C$6)</f>
        <v>0</v>
      </c>
      <c r="AA145" s="10">
        <f>IF(Y145&lt;=0,0,IF(Financiamento_EV!$C$6=0,Y145/(Financiamento_EV!$C$7-V145+1),Y145*Financiamento_EV!$C$6/(1-(1+Financiamento_EV!$C$6)^(-(Financiamento_EV!$C$7-V145+1)))))</f>
        <v>0</v>
      </c>
      <c r="AB145" s="10">
        <f t="shared" si="82"/>
        <v>0</v>
      </c>
      <c r="AC145" s="10">
        <f>IF(Y145&lt;=0,0,MIN(IF(ISNUMBER(INDEX(Financiamento_EV!$I$17:$I$136,V145)),MAX(0,INDEX(Financiamento_EV!$I$17:$I$136,V145)),IF(V145&gt;=Financiamento_EV!$C$11,Financiamento_EV!$C$10,0)),MAX(0,Y145-AB145)))</f>
        <v>0</v>
      </c>
      <c r="AD145" s="10">
        <f>IF(OR(Y145&lt;=0,V145&lt;Financiamento_EV!$C$11),0,MIN(MAX(0,Financiamento_EV!$F$5-AA145),MAX(0,Y145-AB145-AC145)))</f>
        <v>0</v>
      </c>
      <c r="AE145" s="10">
        <f t="shared" si="83"/>
        <v>0</v>
      </c>
      <c r="AF145" s="10">
        <f t="shared" si="84"/>
        <v>0</v>
      </c>
      <c r="AG145" s="10">
        <f t="shared" si="85"/>
        <v>0</v>
      </c>
    </row>
    <row r="146" spans="1:33">
      <c r="A146">
        <f t="shared" si="86"/>
        <v>112</v>
      </c>
      <c r="B146" s="10">
        <f t="shared" si="87"/>
        <v>0</v>
      </c>
      <c r="C146" s="10">
        <f>IF(OR(B146&lt;=0,A146&gt;Financiamento_EV!$C$7),0,B146*Financiamento_EV!$C$9)</f>
        <v>0</v>
      </c>
      <c r="D146" s="10">
        <f t="shared" si="73"/>
        <v>0</v>
      </c>
      <c r="E146" s="10">
        <f>IF(D146&lt;=0,0,D146*Financiamento_EV!$C$6)</f>
        <v>0</v>
      </c>
      <c r="F146" s="10">
        <f>IF(D146&lt;=0,0,IF(Financiamento_EV!$C$6=0,D146/(Financiamento_EV!$C$7-A146+1),D146*Financiamento_EV!$C$6/(1-(1+Financiamento_EV!$C$6)^(-(Financiamento_EV!$C$7-A146+1)))))</f>
        <v>0</v>
      </c>
      <c r="G146" s="10">
        <f t="shared" si="74"/>
        <v>0</v>
      </c>
      <c r="H146" s="10">
        <f t="shared" si="75"/>
        <v>0</v>
      </c>
      <c r="I146" s="10">
        <f t="shared" si="76"/>
        <v>0</v>
      </c>
      <c r="K146">
        <f t="shared" si="88"/>
        <v>112</v>
      </c>
      <c r="L146" s="10">
        <f t="shared" si="89"/>
        <v>0</v>
      </c>
      <c r="M146" s="10">
        <f>IF(OR(L146&lt;=0,K146&gt;Financiamento_EV!$C$7),0,L146*Financiamento_EV!$C$9)</f>
        <v>0</v>
      </c>
      <c r="N146" s="10">
        <f t="shared" si="77"/>
        <v>0</v>
      </c>
      <c r="O146" s="10">
        <f>IF(N146&lt;=0,0,N146*Financiamento_EV!$C$6)</f>
        <v>0</v>
      </c>
      <c r="P146" s="10">
        <f>IF(N146&lt;=0,0,IF(Financiamento_EV!$C$6=0,N146/(Financiamento_EV!$C$7-K146+1),N146*Financiamento_EV!$C$6/(1-(1+Financiamento_EV!$C$6)^(-(Financiamento_EV!$C$7-K146+1)))))</f>
        <v>0</v>
      </c>
      <c r="Q146" s="10">
        <f t="shared" si="78"/>
        <v>0</v>
      </c>
      <c r="R146" s="10">
        <f>IF(N146&lt;=0,0,MIN(IF(ISNUMBER(INDEX(Financiamento_EV!$I$17:$I$136,K146)),MAX(0,INDEX(Financiamento_EV!$I$17:$I$136,K146)),IF(K146&gt;=Financiamento_EV!$C$11,Financiamento_EV!$C$10,0)),MAX(0,N146-Q146)))</f>
        <v>0</v>
      </c>
      <c r="S146" s="10">
        <f t="shared" si="79"/>
        <v>0</v>
      </c>
      <c r="T146" s="10">
        <f t="shared" si="80"/>
        <v>0</v>
      </c>
      <c r="V146">
        <f t="shared" si="90"/>
        <v>112</v>
      </c>
      <c r="W146" s="10">
        <f t="shared" si="91"/>
        <v>0</v>
      </c>
      <c r="X146" s="10">
        <f>IF(OR(W146&lt;=0,V146&gt;Financiamento_EV!$C$7),0,W146*Financiamento_EV!$C$9)</f>
        <v>0</v>
      </c>
      <c r="Y146" s="10">
        <f t="shared" si="81"/>
        <v>0</v>
      </c>
      <c r="Z146" s="10">
        <f>IF(Y146&lt;=0,0,Y146*Financiamento_EV!$C$6)</f>
        <v>0</v>
      </c>
      <c r="AA146" s="10">
        <f>IF(Y146&lt;=0,0,IF(Financiamento_EV!$C$6=0,Y146/(Financiamento_EV!$C$7-V146+1),Y146*Financiamento_EV!$C$6/(1-(1+Financiamento_EV!$C$6)^(-(Financiamento_EV!$C$7-V146+1)))))</f>
        <v>0</v>
      </c>
      <c r="AB146" s="10">
        <f t="shared" si="82"/>
        <v>0</v>
      </c>
      <c r="AC146" s="10">
        <f>IF(Y146&lt;=0,0,MIN(IF(ISNUMBER(INDEX(Financiamento_EV!$I$17:$I$136,V146)),MAX(0,INDEX(Financiamento_EV!$I$17:$I$136,V146)),IF(V146&gt;=Financiamento_EV!$C$11,Financiamento_EV!$C$10,0)),MAX(0,Y146-AB146)))</f>
        <v>0</v>
      </c>
      <c r="AD146" s="10">
        <f>IF(OR(Y146&lt;=0,V146&lt;Financiamento_EV!$C$11),0,MIN(MAX(0,Financiamento_EV!$F$5-AA146),MAX(0,Y146-AB146-AC146)))</f>
        <v>0</v>
      </c>
      <c r="AE146" s="10">
        <f t="shared" si="83"/>
        <v>0</v>
      </c>
      <c r="AF146" s="10">
        <f t="shared" si="84"/>
        <v>0</v>
      </c>
      <c r="AG146" s="10">
        <f t="shared" si="85"/>
        <v>0</v>
      </c>
    </row>
    <row r="147" spans="1:33">
      <c r="A147">
        <f t="shared" si="86"/>
        <v>113</v>
      </c>
      <c r="B147" s="10">
        <f t="shared" si="87"/>
        <v>0</v>
      </c>
      <c r="C147" s="10">
        <f>IF(OR(B147&lt;=0,A147&gt;Financiamento_EV!$C$7),0,B147*Financiamento_EV!$C$9)</f>
        <v>0</v>
      </c>
      <c r="D147" s="10">
        <f t="shared" si="73"/>
        <v>0</v>
      </c>
      <c r="E147" s="10">
        <f>IF(D147&lt;=0,0,D147*Financiamento_EV!$C$6)</f>
        <v>0</v>
      </c>
      <c r="F147" s="10">
        <f>IF(D147&lt;=0,0,IF(Financiamento_EV!$C$6=0,D147/(Financiamento_EV!$C$7-A147+1),D147*Financiamento_EV!$C$6/(1-(1+Financiamento_EV!$C$6)^(-(Financiamento_EV!$C$7-A147+1)))))</f>
        <v>0</v>
      </c>
      <c r="G147" s="10">
        <f t="shared" si="74"/>
        <v>0</v>
      </c>
      <c r="H147" s="10">
        <f t="shared" si="75"/>
        <v>0</v>
      </c>
      <c r="I147" s="10">
        <f t="shared" si="76"/>
        <v>0</v>
      </c>
      <c r="K147">
        <f t="shared" si="88"/>
        <v>113</v>
      </c>
      <c r="L147" s="10">
        <f t="shared" si="89"/>
        <v>0</v>
      </c>
      <c r="M147" s="10">
        <f>IF(OR(L147&lt;=0,K147&gt;Financiamento_EV!$C$7),0,L147*Financiamento_EV!$C$9)</f>
        <v>0</v>
      </c>
      <c r="N147" s="10">
        <f t="shared" si="77"/>
        <v>0</v>
      </c>
      <c r="O147" s="10">
        <f>IF(N147&lt;=0,0,N147*Financiamento_EV!$C$6)</f>
        <v>0</v>
      </c>
      <c r="P147" s="10">
        <f>IF(N147&lt;=0,0,IF(Financiamento_EV!$C$6=0,N147/(Financiamento_EV!$C$7-K147+1),N147*Financiamento_EV!$C$6/(1-(1+Financiamento_EV!$C$6)^(-(Financiamento_EV!$C$7-K147+1)))))</f>
        <v>0</v>
      </c>
      <c r="Q147" s="10">
        <f t="shared" si="78"/>
        <v>0</v>
      </c>
      <c r="R147" s="10">
        <f>IF(N147&lt;=0,0,MIN(IF(ISNUMBER(INDEX(Financiamento_EV!$I$17:$I$136,K147)),MAX(0,INDEX(Financiamento_EV!$I$17:$I$136,K147)),IF(K147&gt;=Financiamento_EV!$C$11,Financiamento_EV!$C$10,0)),MAX(0,N147-Q147)))</f>
        <v>0</v>
      </c>
      <c r="S147" s="10">
        <f t="shared" si="79"/>
        <v>0</v>
      </c>
      <c r="T147" s="10">
        <f t="shared" si="80"/>
        <v>0</v>
      </c>
      <c r="V147">
        <f t="shared" si="90"/>
        <v>113</v>
      </c>
      <c r="W147" s="10">
        <f t="shared" si="91"/>
        <v>0</v>
      </c>
      <c r="X147" s="10">
        <f>IF(OR(W147&lt;=0,V147&gt;Financiamento_EV!$C$7),0,W147*Financiamento_EV!$C$9)</f>
        <v>0</v>
      </c>
      <c r="Y147" s="10">
        <f t="shared" si="81"/>
        <v>0</v>
      </c>
      <c r="Z147" s="10">
        <f>IF(Y147&lt;=0,0,Y147*Financiamento_EV!$C$6)</f>
        <v>0</v>
      </c>
      <c r="AA147" s="10">
        <f>IF(Y147&lt;=0,0,IF(Financiamento_EV!$C$6=0,Y147/(Financiamento_EV!$C$7-V147+1),Y147*Financiamento_EV!$C$6/(1-(1+Financiamento_EV!$C$6)^(-(Financiamento_EV!$C$7-V147+1)))))</f>
        <v>0</v>
      </c>
      <c r="AB147" s="10">
        <f t="shared" si="82"/>
        <v>0</v>
      </c>
      <c r="AC147" s="10">
        <f>IF(Y147&lt;=0,0,MIN(IF(ISNUMBER(INDEX(Financiamento_EV!$I$17:$I$136,V147)),MAX(0,INDEX(Financiamento_EV!$I$17:$I$136,V147)),IF(V147&gt;=Financiamento_EV!$C$11,Financiamento_EV!$C$10,0)),MAX(0,Y147-AB147)))</f>
        <v>0</v>
      </c>
      <c r="AD147" s="10">
        <f>IF(OR(Y147&lt;=0,V147&lt;Financiamento_EV!$C$11),0,MIN(MAX(0,Financiamento_EV!$F$5-AA147),MAX(0,Y147-AB147-AC147)))</f>
        <v>0</v>
      </c>
      <c r="AE147" s="10">
        <f t="shared" si="83"/>
        <v>0</v>
      </c>
      <c r="AF147" s="10">
        <f t="shared" si="84"/>
        <v>0</v>
      </c>
      <c r="AG147" s="10">
        <f t="shared" si="85"/>
        <v>0</v>
      </c>
    </row>
    <row r="148" spans="1:33">
      <c r="A148">
        <f t="shared" si="86"/>
        <v>114</v>
      </c>
      <c r="B148" s="10">
        <f t="shared" si="87"/>
        <v>0</v>
      </c>
      <c r="C148" s="10">
        <f>IF(OR(B148&lt;=0,A148&gt;Financiamento_EV!$C$7),0,B148*Financiamento_EV!$C$9)</f>
        <v>0</v>
      </c>
      <c r="D148" s="10">
        <f t="shared" si="73"/>
        <v>0</v>
      </c>
      <c r="E148" s="10">
        <f>IF(D148&lt;=0,0,D148*Financiamento_EV!$C$6)</f>
        <v>0</v>
      </c>
      <c r="F148" s="10">
        <f>IF(D148&lt;=0,0,IF(Financiamento_EV!$C$6=0,D148/(Financiamento_EV!$C$7-A148+1),D148*Financiamento_EV!$C$6/(1-(1+Financiamento_EV!$C$6)^(-(Financiamento_EV!$C$7-A148+1)))))</f>
        <v>0</v>
      </c>
      <c r="G148" s="10">
        <f t="shared" si="74"/>
        <v>0</v>
      </c>
      <c r="H148" s="10">
        <f t="shared" si="75"/>
        <v>0</v>
      </c>
      <c r="I148" s="10">
        <f t="shared" si="76"/>
        <v>0</v>
      </c>
      <c r="K148">
        <f t="shared" si="88"/>
        <v>114</v>
      </c>
      <c r="L148" s="10">
        <f t="shared" si="89"/>
        <v>0</v>
      </c>
      <c r="M148" s="10">
        <f>IF(OR(L148&lt;=0,K148&gt;Financiamento_EV!$C$7),0,L148*Financiamento_EV!$C$9)</f>
        <v>0</v>
      </c>
      <c r="N148" s="10">
        <f t="shared" si="77"/>
        <v>0</v>
      </c>
      <c r="O148" s="10">
        <f>IF(N148&lt;=0,0,N148*Financiamento_EV!$C$6)</f>
        <v>0</v>
      </c>
      <c r="P148" s="10">
        <f>IF(N148&lt;=0,0,IF(Financiamento_EV!$C$6=0,N148/(Financiamento_EV!$C$7-K148+1),N148*Financiamento_EV!$C$6/(1-(1+Financiamento_EV!$C$6)^(-(Financiamento_EV!$C$7-K148+1)))))</f>
        <v>0</v>
      </c>
      <c r="Q148" s="10">
        <f t="shared" si="78"/>
        <v>0</v>
      </c>
      <c r="R148" s="10">
        <f>IF(N148&lt;=0,0,MIN(IF(ISNUMBER(INDEX(Financiamento_EV!$I$17:$I$136,K148)),MAX(0,INDEX(Financiamento_EV!$I$17:$I$136,K148)),IF(K148&gt;=Financiamento_EV!$C$11,Financiamento_EV!$C$10,0)),MAX(0,N148-Q148)))</f>
        <v>0</v>
      </c>
      <c r="S148" s="10">
        <f t="shared" si="79"/>
        <v>0</v>
      </c>
      <c r="T148" s="10">
        <f t="shared" si="80"/>
        <v>0</v>
      </c>
      <c r="V148">
        <f t="shared" si="90"/>
        <v>114</v>
      </c>
      <c r="W148" s="10">
        <f t="shared" si="91"/>
        <v>0</v>
      </c>
      <c r="X148" s="10">
        <f>IF(OR(W148&lt;=0,V148&gt;Financiamento_EV!$C$7),0,W148*Financiamento_EV!$C$9)</f>
        <v>0</v>
      </c>
      <c r="Y148" s="10">
        <f t="shared" si="81"/>
        <v>0</v>
      </c>
      <c r="Z148" s="10">
        <f>IF(Y148&lt;=0,0,Y148*Financiamento_EV!$C$6)</f>
        <v>0</v>
      </c>
      <c r="AA148" s="10">
        <f>IF(Y148&lt;=0,0,IF(Financiamento_EV!$C$6=0,Y148/(Financiamento_EV!$C$7-V148+1),Y148*Financiamento_EV!$C$6/(1-(1+Financiamento_EV!$C$6)^(-(Financiamento_EV!$C$7-V148+1)))))</f>
        <v>0</v>
      </c>
      <c r="AB148" s="10">
        <f t="shared" si="82"/>
        <v>0</v>
      </c>
      <c r="AC148" s="10">
        <f>IF(Y148&lt;=0,0,MIN(IF(ISNUMBER(INDEX(Financiamento_EV!$I$17:$I$136,V148)),MAX(0,INDEX(Financiamento_EV!$I$17:$I$136,V148)),IF(V148&gt;=Financiamento_EV!$C$11,Financiamento_EV!$C$10,0)),MAX(0,Y148-AB148)))</f>
        <v>0</v>
      </c>
      <c r="AD148" s="10">
        <f>IF(OR(Y148&lt;=0,V148&lt;Financiamento_EV!$C$11),0,MIN(MAX(0,Financiamento_EV!$F$5-AA148),MAX(0,Y148-AB148-AC148)))</f>
        <v>0</v>
      </c>
      <c r="AE148" s="10">
        <f t="shared" si="83"/>
        <v>0</v>
      </c>
      <c r="AF148" s="10">
        <f t="shared" si="84"/>
        <v>0</v>
      </c>
      <c r="AG148" s="10">
        <f t="shared" si="85"/>
        <v>0</v>
      </c>
    </row>
    <row r="149" spans="1:33">
      <c r="A149">
        <f t="shared" si="86"/>
        <v>115</v>
      </c>
      <c r="B149" s="10">
        <f t="shared" si="87"/>
        <v>0</v>
      </c>
      <c r="C149" s="10">
        <f>IF(OR(B149&lt;=0,A149&gt;Financiamento_EV!$C$7),0,B149*Financiamento_EV!$C$9)</f>
        <v>0</v>
      </c>
      <c r="D149" s="10">
        <f t="shared" si="73"/>
        <v>0</v>
      </c>
      <c r="E149" s="10">
        <f>IF(D149&lt;=0,0,D149*Financiamento_EV!$C$6)</f>
        <v>0</v>
      </c>
      <c r="F149" s="10">
        <f>IF(D149&lt;=0,0,IF(Financiamento_EV!$C$6=0,D149/(Financiamento_EV!$C$7-A149+1),D149*Financiamento_EV!$C$6/(1-(1+Financiamento_EV!$C$6)^(-(Financiamento_EV!$C$7-A149+1)))))</f>
        <v>0</v>
      </c>
      <c r="G149" s="10">
        <f t="shared" si="74"/>
        <v>0</v>
      </c>
      <c r="H149" s="10">
        <f t="shared" si="75"/>
        <v>0</v>
      </c>
      <c r="I149" s="10">
        <f t="shared" si="76"/>
        <v>0</v>
      </c>
      <c r="K149">
        <f t="shared" si="88"/>
        <v>115</v>
      </c>
      <c r="L149" s="10">
        <f t="shared" si="89"/>
        <v>0</v>
      </c>
      <c r="M149" s="10">
        <f>IF(OR(L149&lt;=0,K149&gt;Financiamento_EV!$C$7),0,L149*Financiamento_EV!$C$9)</f>
        <v>0</v>
      </c>
      <c r="N149" s="10">
        <f t="shared" si="77"/>
        <v>0</v>
      </c>
      <c r="O149" s="10">
        <f>IF(N149&lt;=0,0,N149*Financiamento_EV!$C$6)</f>
        <v>0</v>
      </c>
      <c r="P149" s="10">
        <f>IF(N149&lt;=0,0,IF(Financiamento_EV!$C$6=0,N149/(Financiamento_EV!$C$7-K149+1),N149*Financiamento_EV!$C$6/(1-(1+Financiamento_EV!$C$6)^(-(Financiamento_EV!$C$7-K149+1)))))</f>
        <v>0</v>
      </c>
      <c r="Q149" s="10">
        <f t="shared" si="78"/>
        <v>0</v>
      </c>
      <c r="R149" s="10">
        <f>IF(N149&lt;=0,0,MIN(IF(ISNUMBER(INDEX(Financiamento_EV!$I$17:$I$136,K149)),MAX(0,INDEX(Financiamento_EV!$I$17:$I$136,K149)),IF(K149&gt;=Financiamento_EV!$C$11,Financiamento_EV!$C$10,0)),MAX(0,N149-Q149)))</f>
        <v>0</v>
      </c>
      <c r="S149" s="10">
        <f t="shared" si="79"/>
        <v>0</v>
      </c>
      <c r="T149" s="10">
        <f t="shared" si="80"/>
        <v>0</v>
      </c>
      <c r="V149">
        <f t="shared" si="90"/>
        <v>115</v>
      </c>
      <c r="W149" s="10">
        <f t="shared" si="91"/>
        <v>0</v>
      </c>
      <c r="X149" s="10">
        <f>IF(OR(W149&lt;=0,V149&gt;Financiamento_EV!$C$7),0,W149*Financiamento_EV!$C$9)</f>
        <v>0</v>
      </c>
      <c r="Y149" s="10">
        <f t="shared" si="81"/>
        <v>0</v>
      </c>
      <c r="Z149" s="10">
        <f>IF(Y149&lt;=0,0,Y149*Financiamento_EV!$C$6)</f>
        <v>0</v>
      </c>
      <c r="AA149" s="10">
        <f>IF(Y149&lt;=0,0,IF(Financiamento_EV!$C$6=0,Y149/(Financiamento_EV!$C$7-V149+1),Y149*Financiamento_EV!$C$6/(1-(1+Financiamento_EV!$C$6)^(-(Financiamento_EV!$C$7-V149+1)))))</f>
        <v>0</v>
      </c>
      <c r="AB149" s="10">
        <f t="shared" si="82"/>
        <v>0</v>
      </c>
      <c r="AC149" s="10">
        <f>IF(Y149&lt;=0,0,MIN(IF(ISNUMBER(INDEX(Financiamento_EV!$I$17:$I$136,V149)),MAX(0,INDEX(Financiamento_EV!$I$17:$I$136,V149)),IF(V149&gt;=Financiamento_EV!$C$11,Financiamento_EV!$C$10,0)),MAX(0,Y149-AB149)))</f>
        <v>0</v>
      </c>
      <c r="AD149" s="10">
        <f>IF(OR(Y149&lt;=0,V149&lt;Financiamento_EV!$C$11),0,MIN(MAX(0,Financiamento_EV!$F$5-AA149),MAX(0,Y149-AB149-AC149)))</f>
        <v>0</v>
      </c>
      <c r="AE149" s="10">
        <f t="shared" si="83"/>
        <v>0</v>
      </c>
      <c r="AF149" s="10">
        <f t="shared" si="84"/>
        <v>0</v>
      </c>
      <c r="AG149" s="10">
        <f t="shared" si="85"/>
        <v>0</v>
      </c>
    </row>
    <row r="150" spans="1:33">
      <c r="A150">
        <f t="shared" si="86"/>
        <v>116</v>
      </c>
      <c r="B150" s="10">
        <f t="shared" si="87"/>
        <v>0</v>
      </c>
      <c r="C150" s="10">
        <f>IF(OR(B150&lt;=0,A150&gt;Financiamento_EV!$C$7),0,B150*Financiamento_EV!$C$9)</f>
        <v>0</v>
      </c>
      <c r="D150" s="10">
        <f t="shared" si="73"/>
        <v>0</v>
      </c>
      <c r="E150" s="10">
        <f>IF(D150&lt;=0,0,D150*Financiamento_EV!$C$6)</f>
        <v>0</v>
      </c>
      <c r="F150" s="10">
        <f>IF(D150&lt;=0,0,IF(Financiamento_EV!$C$6=0,D150/(Financiamento_EV!$C$7-A150+1),D150*Financiamento_EV!$C$6/(1-(1+Financiamento_EV!$C$6)^(-(Financiamento_EV!$C$7-A150+1)))))</f>
        <v>0</v>
      </c>
      <c r="G150" s="10">
        <f t="shared" si="74"/>
        <v>0</v>
      </c>
      <c r="H150" s="10">
        <f t="shared" si="75"/>
        <v>0</v>
      </c>
      <c r="I150" s="10">
        <f t="shared" si="76"/>
        <v>0</v>
      </c>
      <c r="K150">
        <f t="shared" si="88"/>
        <v>116</v>
      </c>
      <c r="L150" s="10">
        <f t="shared" si="89"/>
        <v>0</v>
      </c>
      <c r="M150" s="10">
        <f>IF(OR(L150&lt;=0,K150&gt;Financiamento_EV!$C$7),0,L150*Financiamento_EV!$C$9)</f>
        <v>0</v>
      </c>
      <c r="N150" s="10">
        <f t="shared" si="77"/>
        <v>0</v>
      </c>
      <c r="O150" s="10">
        <f>IF(N150&lt;=0,0,N150*Financiamento_EV!$C$6)</f>
        <v>0</v>
      </c>
      <c r="P150" s="10">
        <f>IF(N150&lt;=0,0,IF(Financiamento_EV!$C$6=0,N150/(Financiamento_EV!$C$7-K150+1),N150*Financiamento_EV!$C$6/(1-(1+Financiamento_EV!$C$6)^(-(Financiamento_EV!$C$7-K150+1)))))</f>
        <v>0</v>
      </c>
      <c r="Q150" s="10">
        <f t="shared" si="78"/>
        <v>0</v>
      </c>
      <c r="R150" s="10">
        <f>IF(N150&lt;=0,0,MIN(IF(ISNUMBER(INDEX(Financiamento_EV!$I$17:$I$136,K150)),MAX(0,INDEX(Financiamento_EV!$I$17:$I$136,K150)),IF(K150&gt;=Financiamento_EV!$C$11,Financiamento_EV!$C$10,0)),MAX(0,N150-Q150)))</f>
        <v>0</v>
      </c>
      <c r="S150" s="10">
        <f t="shared" si="79"/>
        <v>0</v>
      </c>
      <c r="T150" s="10">
        <f t="shared" si="80"/>
        <v>0</v>
      </c>
      <c r="V150">
        <f t="shared" si="90"/>
        <v>116</v>
      </c>
      <c r="W150" s="10">
        <f t="shared" si="91"/>
        <v>0</v>
      </c>
      <c r="X150" s="10">
        <f>IF(OR(W150&lt;=0,V150&gt;Financiamento_EV!$C$7),0,W150*Financiamento_EV!$C$9)</f>
        <v>0</v>
      </c>
      <c r="Y150" s="10">
        <f t="shared" si="81"/>
        <v>0</v>
      </c>
      <c r="Z150" s="10">
        <f>IF(Y150&lt;=0,0,Y150*Financiamento_EV!$C$6)</f>
        <v>0</v>
      </c>
      <c r="AA150" s="10">
        <f>IF(Y150&lt;=0,0,IF(Financiamento_EV!$C$6=0,Y150/(Financiamento_EV!$C$7-V150+1),Y150*Financiamento_EV!$C$6/(1-(1+Financiamento_EV!$C$6)^(-(Financiamento_EV!$C$7-V150+1)))))</f>
        <v>0</v>
      </c>
      <c r="AB150" s="10">
        <f t="shared" si="82"/>
        <v>0</v>
      </c>
      <c r="AC150" s="10">
        <f>IF(Y150&lt;=0,0,MIN(IF(ISNUMBER(INDEX(Financiamento_EV!$I$17:$I$136,V150)),MAX(0,INDEX(Financiamento_EV!$I$17:$I$136,V150)),IF(V150&gt;=Financiamento_EV!$C$11,Financiamento_EV!$C$10,0)),MAX(0,Y150-AB150)))</f>
        <v>0</v>
      </c>
      <c r="AD150" s="10">
        <f>IF(OR(Y150&lt;=0,V150&lt;Financiamento_EV!$C$11),0,MIN(MAX(0,Financiamento_EV!$F$5-AA150),MAX(0,Y150-AB150-AC150)))</f>
        <v>0</v>
      </c>
      <c r="AE150" s="10">
        <f t="shared" si="83"/>
        <v>0</v>
      </c>
      <c r="AF150" s="10">
        <f t="shared" si="84"/>
        <v>0</v>
      </c>
      <c r="AG150" s="10">
        <f t="shared" si="85"/>
        <v>0</v>
      </c>
    </row>
    <row r="151" spans="1:33">
      <c r="A151">
        <f t="shared" si="86"/>
        <v>117</v>
      </c>
      <c r="B151" s="10">
        <f t="shared" si="87"/>
        <v>0</v>
      </c>
      <c r="C151" s="10">
        <f>IF(OR(B151&lt;=0,A151&gt;Financiamento_EV!$C$7),0,B151*Financiamento_EV!$C$9)</f>
        <v>0</v>
      </c>
      <c r="D151" s="10">
        <f t="shared" si="73"/>
        <v>0</v>
      </c>
      <c r="E151" s="10">
        <f>IF(D151&lt;=0,0,D151*Financiamento_EV!$C$6)</f>
        <v>0</v>
      </c>
      <c r="F151" s="10">
        <f>IF(D151&lt;=0,0,IF(Financiamento_EV!$C$6=0,D151/(Financiamento_EV!$C$7-A151+1),D151*Financiamento_EV!$C$6/(1-(1+Financiamento_EV!$C$6)^(-(Financiamento_EV!$C$7-A151+1)))))</f>
        <v>0</v>
      </c>
      <c r="G151" s="10">
        <f t="shared" si="74"/>
        <v>0</v>
      </c>
      <c r="H151" s="10">
        <f t="shared" si="75"/>
        <v>0</v>
      </c>
      <c r="I151" s="10">
        <f t="shared" si="76"/>
        <v>0</v>
      </c>
      <c r="K151">
        <f t="shared" si="88"/>
        <v>117</v>
      </c>
      <c r="L151" s="10">
        <f t="shared" si="89"/>
        <v>0</v>
      </c>
      <c r="M151" s="10">
        <f>IF(OR(L151&lt;=0,K151&gt;Financiamento_EV!$C$7),0,L151*Financiamento_EV!$C$9)</f>
        <v>0</v>
      </c>
      <c r="N151" s="10">
        <f t="shared" si="77"/>
        <v>0</v>
      </c>
      <c r="O151" s="10">
        <f>IF(N151&lt;=0,0,N151*Financiamento_EV!$C$6)</f>
        <v>0</v>
      </c>
      <c r="P151" s="10">
        <f>IF(N151&lt;=0,0,IF(Financiamento_EV!$C$6=0,N151/(Financiamento_EV!$C$7-K151+1),N151*Financiamento_EV!$C$6/(1-(1+Financiamento_EV!$C$6)^(-(Financiamento_EV!$C$7-K151+1)))))</f>
        <v>0</v>
      </c>
      <c r="Q151" s="10">
        <f t="shared" si="78"/>
        <v>0</v>
      </c>
      <c r="R151" s="10">
        <f>IF(N151&lt;=0,0,MIN(IF(ISNUMBER(INDEX(Financiamento_EV!$I$17:$I$136,K151)),MAX(0,INDEX(Financiamento_EV!$I$17:$I$136,K151)),IF(K151&gt;=Financiamento_EV!$C$11,Financiamento_EV!$C$10,0)),MAX(0,N151-Q151)))</f>
        <v>0</v>
      </c>
      <c r="S151" s="10">
        <f t="shared" si="79"/>
        <v>0</v>
      </c>
      <c r="T151" s="10">
        <f t="shared" si="80"/>
        <v>0</v>
      </c>
      <c r="V151">
        <f t="shared" si="90"/>
        <v>117</v>
      </c>
      <c r="W151" s="10">
        <f t="shared" si="91"/>
        <v>0</v>
      </c>
      <c r="X151" s="10">
        <f>IF(OR(W151&lt;=0,V151&gt;Financiamento_EV!$C$7),0,W151*Financiamento_EV!$C$9)</f>
        <v>0</v>
      </c>
      <c r="Y151" s="10">
        <f t="shared" si="81"/>
        <v>0</v>
      </c>
      <c r="Z151" s="10">
        <f>IF(Y151&lt;=0,0,Y151*Financiamento_EV!$C$6)</f>
        <v>0</v>
      </c>
      <c r="AA151" s="10">
        <f>IF(Y151&lt;=0,0,IF(Financiamento_EV!$C$6=0,Y151/(Financiamento_EV!$C$7-V151+1),Y151*Financiamento_EV!$C$6/(1-(1+Financiamento_EV!$C$6)^(-(Financiamento_EV!$C$7-V151+1)))))</f>
        <v>0</v>
      </c>
      <c r="AB151" s="10">
        <f t="shared" si="82"/>
        <v>0</v>
      </c>
      <c r="AC151" s="10">
        <f>IF(Y151&lt;=0,0,MIN(IF(ISNUMBER(INDEX(Financiamento_EV!$I$17:$I$136,V151)),MAX(0,INDEX(Financiamento_EV!$I$17:$I$136,V151)),IF(V151&gt;=Financiamento_EV!$C$11,Financiamento_EV!$C$10,0)),MAX(0,Y151-AB151)))</f>
        <v>0</v>
      </c>
      <c r="AD151" s="10">
        <f>IF(OR(Y151&lt;=0,V151&lt;Financiamento_EV!$C$11),0,MIN(MAX(0,Financiamento_EV!$F$5-AA151),MAX(0,Y151-AB151-AC151)))</f>
        <v>0</v>
      </c>
      <c r="AE151" s="10">
        <f t="shared" si="83"/>
        <v>0</v>
      </c>
      <c r="AF151" s="10">
        <f t="shared" si="84"/>
        <v>0</v>
      </c>
      <c r="AG151" s="10">
        <f t="shared" si="85"/>
        <v>0</v>
      </c>
    </row>
    <row r="152" spans="1:33">
      <c r="A152">
        <f t="shared" si="86"/>
        <v>118</v>
      </c>
      <c r="B152" s="10">
        <f t="shared" si="87"/>
        <v>0</v>
      </c>
      <c r="C152" s="10">
        <f>IF(OR(B152&lt;=0,A152&gt;Financiamento_EV!$C$7),0,B152*Financiamento_EV!$C$9)</f>
        <v>0</v>
      </c>
      <c r="D152" s="10">
        <f t="shared" si="73"/>
        <v>0</v>
      </c>
      <c r="E152" s="10">
        <f>IF(D152&lt;=0,0,D152*Financiamento_EV!$C$6)</f>
        <v>0</v>
      </c>
      <c r="F152" s="10">
        <f>IF(D152&lt;=0,0,IF(Financiamento_EV!$C$6=0,D152/(Financiamento_EV!$C$7-A152+1),D152*Financiamento_EV!$C$6/(1-(1+Financiamento_EV!$C$6)^(-(Financiamento_EV!$C$7-A152+1)))))</f>
        <v>0</v>
      </c>
      <c r="G152" s="10">
        <f t="shared" si="74"/>
        <v>0</v>
      </c>
      <c r="H152" s="10">
        <f t="shared" si="75"/>
        <v>0</v>
      </c>
      <c r="I152" s="10">
        <f t="shared" si="76"/>
        <v>0</v>
      </c>
      <c r="K152">
        <f t="shared" si="88"/>
        <v>118</v>
      </c>
      <c r="L152" s="10">
        <f t="shared" si="89"/>
        <v>0</v>
      </c>
      <c r="M152" s="10">
        <f>IF(OR(L152&lt;=0,K152&gt;Financiamento_EV!$C$7),0,L152*Financiamento_EV!$C$9)</f>
        <v>0</v>
      </c>
      <c r="N152" s="10">
        <f t="shared" si="77"/>
        <v>0</v>
      </c>
      <c r="O152" s="10">
        <f>IF(N152&lt;=0,0,N152*Financiamento_EV!$C$6)</f>
        <v>0</v>
      </c>
      <c r="P152" s="10">
        <f>IF(N152&lt;=0,0,IF(Financiamento_EV!$C$6=0,N152/(Financiamento_EV!$C$7-K152+1),N152*Financiamento_EV!$C$6/(1-(1+Financiamento_EV!$C$6)^(-(Financiamento_EV!$C$7-K152+1)))))</f>
        <v>0</v>
      </c>
      <c r="Q152" s="10">
        <f t="shared" si="78"/>
        <v>0</v>
      </c>
      <c r="R152" s="10">
        <f>IF(N152&lt;=0,0,MIN(IF(ISNUMBER(INDEX(Financiamento_EV!$I$17:$I$136,K152)),MAX(0,INDEX(Financiamento_EV!$I$17:$I$136,K152)),IF(K152&gt;=Financiamento_EV!$C$11,Financiamento_EV!$C$10,0)),MAX(0,N152-Q152)))</f>
        <v>0</v>
      </c>
      <c r="S152" s="10">
        <f t="shared" si="79"/>
        <v>0</v>
      </c>
      <c r="T152" s="10">
        <f t="shared" si="80"/>
        <v>0</v>
      </c>
      <c r="V152">
        <f t="shared" si="90"/>
        <v>118</v>
      </c>
      <c r="W152" s="10">
        <f t="shared" si="91"/>
        <v>0</v>
      </c>
      <c r="X152" s="10">
        <f>IF(OR(W152&lt;=0,V152&gt;Financiamento_EV!$C$7),0,W152*Financiamento_EV!$C$9)</f>
        <v>0</v>
      </c>
      <c r="Y152" s="10">
        <f t="shared" si="81"/>
        <v>0</v>
      </c>
      <c r="Z152" s="10">
        <f>IF(Y152&lt;=0,0,Y152*Financiamento_EV!$C$6)</f>
        <v>0</v>
      </c>
      <c r="AA152" s="10">
        <f>IF(Y152&lt;=0,0,IF(Financiamento_EV!$C$6=0,Y152/(Financiamento_EV!$C$7-V152+1),Y152*Financiamento_EV!$C$6/(1-(1+Financiamento_EV!$C$6)^(-(Financiamento_EV!$C$7-V152+1)))))</f>
        <v>0</v>
      </c>
      <c r="AB152" s="10">
        <f t="shared" si="82"/>
        <v>0</v>
      </c>
      <c r="AC152" s="10">
        <f>IF(Y152&lt;=0,0,MIN(IF(ISNUMBER(INDEX(Financiamento_EV!$I$17:$I$136,V152)),MAX(0,INDEX(Financiamento_EV!$I$17:$I$136,V152)),IF(V152&gt;=Financiamento_EV!$C$11,Financiamento_EV!$C$10,0)),MAX(0,Y152-AB152)))</f>
        <v>0</v>
      </c>
      <c r="AD152" s="10">
        <f>IF(OR(Y152&lt;=0,V152&lt;Financiamento_EV!$C$11),0,MIN(MAX(0,Financiamento_EV!$F$5-AA152),MAX(0,Y152-AB152-AC152)))</f>
        <v>0</v>
      </c>
      <c r="AE152" s="10">
        <f t="shared" si="83"/>
        <v>0</v>
      </c>
      <c r="AF152" s="10">
        <f t="shared" si="84"/>
        <v>0</v>
      </c>
      <c r="AG152" s="10">
        <f t="shared" si="85"/>
        <v>0</v>
      </c>
    </row>
    <row r="153" spans="1:33">
      <c r="A153">
        <f t="shared" si="86"/>
        <v>119</v>
      </c>
      <c r="B153" s="10">
        <f t="shared" si="87"/>
        <v>0</v>
      </c>
      <c r="C153" s="10">
        <f>IF(OR(B153&lt;=0,A153&gt;Financiamento_EV!$C$7),0,B153*Financiamento_EV!$C$9)</f>
        <v>0</v>
      </c>
      <c r="D153" s="10">
        <f t="shared" si="73"/>
        <v>0</v>
      </c>
      <c r="E153" s="10">
        <f>IF(D153&lt;=0,0,D153*Financiamento_EV!$C$6)</f>
        <v>0</v>
      </c>
      <c r="F153" s="10">
        <f>IF(D153&lt;=0,0,IF(Financiamento_EV!$C$6=0,D153/(Financiamento_EV!$C$7-A153+1),D153*Financiamento_EV!$C$6/(1-(1+Financiamento_EV!$C$6)^(-(Financiamento_EV!$C$7-A153+1)))))</f>
        <v>0</v>
      </c>
      <c r="G153" s="10">
        <f t="shared" si="74"/>
        <v>0</v>
      </c>
      <c r="H153" s="10">
        <f t="shared" si="75"/>
        <v>0</v>
      </c>
      <c r="I153" s="10">
        <f t="shared" si="76"/>
        <v>0</v>
      </c>
      <c r="K153">
        <f t="shared" si="88"/>
        <v>119</v>
      </c>
      <c r="L153" s="10">
        <f t="shared" si="89"/>
        <v>0</v>
      </c>
      <c r="M153" s="10">
        <f>IF(OR(L153&lt;=0,K153&gt;Financiamento_EV!$C$7),0,L153*Financiamento_EV!$C$9)</f>
        <v>0</v>
      </c>
      <c r="N153" s="10">
        <f t="shared" si="77"/>
        <v>0</v>
      </c>
      <c r="O153" s="10">
        <f>IF(N153&lt;=0,0,N153*Financiamento_EV!$C$6)</f>
        <v>0</v>
      </c>
      <c r="P153" s="10">
        <f>IF(N153&lt;=0,0,IF(Financiamento_EV!$C$6=0,N153/(Financiamento_EV!$C$7-K153+1),N153*Financiamento_EV!$C$6/(1-(1+Financiamento_EV!$C$6)^(-(Financiamento_EV!$C$7-K153+1)))))</f>
        <v>0</v>
      </c>
      <c r="Q153" s="10">
        <f t="shared" si="78"/>
        <v>0</v>
      </c>
      <c r="R153" s="10">
        <f>IF(N153&lt;=0,0,MIN(IF(ISNUMBER(INDEX(Financiamento_EV!$I$17:$I$136,K153)),MAX(0,INDEX(Financiamento_EV!$I$17:$I$136,K153)),IF(K153&gt;=Financiamento_EV!$C$11,Financiamento_EV!$C$10,0)),MAX(0,N153-Q153)))</f>
        <v>0</v>
      </c>
      <c r="S153" s="10">
        <f t="shared" si="79"/>
        <v>0</v>
      </c>
      <c r="T153" s="10">
        <f t="shared" si="80"/>
        <v>0</v>
      </c>
      <c r="V153">
        <f t="shared" si="90"/>
        <v>119</v>
      </c>
      <c r="W153" s="10">
        <f t="shared" si="91"/>
        <v>0</v>
      </c>
      <c r="X153" s="10">
        <f>IF(OR(W153&lt;=0,V153&gt;Financiamento_EV!$C$7),0,W153*Financiamento_EV!$C$9)</f>
        <v>0</v>
      </c>
      <c r="Y153" s="10">
        <f t="shared" si="81"/>
        <v>0</v>
      </c>
      <c r="Z153" s="10">
        <f>IF(Y153&lt;=0,0,Y153*Financiamento_EV!$C$6)</f>
        <v>0</v>
      </c>
      <c r="AA153" s="10">
        <f>IF(Y153&lt;=0,0,IF(Financiamento_EV!$C$6=0,Y153/(Financiamento_EV!$C$7-V153+1),Y153*Financiamento_EV!$C$6/(1-(1+Financiamento_EV!$C$6)^(-(Financiamento_EV!$C$7-V153+1)))))</f>
        <v>0</v>
      </c>
      <c r="AB153" s="10">
        <f t="shared" si="82"/>
        <v>0</v>
      </c>
      <c r="AC153" s="10">
        <f>IF(Y153&lt;=0,0,MIN(IF(ISNUMBER(INDEX(Financiamento_EV!$I$17:$I$136,V153)),MAX(0,INDEX(Financiamento_EV!$I$17:$I$136,V153)),IF(V153&gt;=Financiamento_EV!$C$11,Financiamento_EV!$C$10,0)),MAX(0,Y153-AB153)))</f>
        <v>0</v>
      </c>
      <c r="AD153" s="10">
        <f>IF(OR(Y153&lt;=0,V153&lt;Financiamento_EV!$C$11),0,MIN(MAX(0,Financiamento_EV!$F$5-AA153),MAX(0,Y153-AB153-AC153)))</f>
        <v>0</v>
      </c>
      <c r="AE153" s="10">
        <f t="shared" si="83"/>
        <v>0</v>
      </c>
      <c r="AF153" s="10">
        <f t="shared" si="84"/>
        <v>0</v>
      </c>
      <c r="AG153" s="10">
        <f t="shared" si="85"/>
        <v>0</v>
      </c>
    </row>
    <row r="154" spans="1:33">
      <c r="A154">
        <f t="shared" si="86"/>
        <v>120</v>
      </c>
      <c r="B154" s="10">
        <f t="shared" si="87"/>
        <v>0</v>
      </c>
      <c r="C154" s="10">
        <f>IF(OR(B154&lt;=0,A154&gt;Financiamento_EV!$C$7),0,B154*Financiamento_EV!$C$9)</f>
        <v>0</v>
      </c>
      <c r="D154" s="10">
        <f t="shared" si="73"/>
        <v>0</v>
      </c>
      <c r="E154" s="10">
        <f>IF(D154&lt;=0,0,D154*Financiamento_EV!$C$6)</f>
        <v>0</v>
      </c>
      <c r="F154" s="10">
        <f>IF(D154&lt;=0,0,IF(Financiamento_EV!$C$6=0,D154/(Financiamento_EV!$C$7-A154+1),D154*Financiamento_EV!$C$6/(1-(1+Financiamento_EV!$C$6)^(-(Financiamento_EV!$C$7-A154+1)))))</f>
        <v>0</v>
      </c>
      <c r="G154" s="10">
        <f t="shared" si="74"/>
        <v>0</v>
      </c>
      <c r="H154" s="10">
        <f t="shared" si="75"/>
        <v>0</v>
      </c>
      <c r="I154" s="10">
        <f t="shared" si="76"/>
        <v>0</v>
      </c>
      <c r="K154">
        <f t="shared" si="88"/>
        <v>120</v>
      </c>
      <c r="L154" s="10">
        <f t="shared" si="89"/>
        <v>0</v>
      </c>
      <c r="M154" s="10">
        <f>IF(OR(L154&lt;=0,K154&gt;Financiamento_EV!$C$7),0,L154*Financiamento_EV!$C$9)</f>
        <v>0</v>
      </c>
      <c r="N154" s="10">
        <f t="shared" si="77"/>
        <v>0</v>
      </c>
      <c r="O154" s="10">
        <f>IF(N154&lt;=0,0,N154*Financiamento_EV!$C$6)</f>
        <v>0</v>
      </c>
      <c r="P154" s="10">
        <f>IF(N154&lt;=0,0,IF(Financiamento_EV!$C$6=0,N154/(Financiamento_EV!$C$7-K154+1),N154*Financiamento_EV!$C$6/(1-(1+Financiamento_EV!$C$6)^(-(Financiamento_EV!$C$7-K154+1)))))</f>
        <v>0</v>
      </c>
      <c r="Q154" s="10">
        <f t="shared" si="78"/>
        <v>0</v>
      </c>
      <c r="R154" s="10">
        <f>IF(N154&lt;=0,0,MIN(IF(ISNUMBER(INDEX(Financiamento_EV!$I$17:$I$136,K154)),MAX(0,INDEX(Financiamento_EV!$I$17:$I$136,K154)),IF(K154&gt;=Financiamento_EV!$C$11,Financiamento_EV!$C$10,0)),MAX(0,N154-Q154)))</f>
        <v>0</v>
      </c>
      <c r="S154" s="10">
        <f t="shared" si="79"/>
        <v>0</v>
      </c>
      <c r="T154" s="10">
        <f t="shared" si="80"/>
        <v>0</v>
      </c>
      <c r="V154">
        <f t="shared" si="90"/>
        <v>120</v>
      </c>
      <c r="W154" s="10">
        <f t="shared" si="91"/>
        <v>0</v>
      </c>
      <c r="X154" s="10">
        <f>IF(OR(W154&lt;=0,V154&gt;Financiamento_EV!$C$7),0,W154*Financiamento_EV!$C$9)</f>
        <v>0</v>
      </c>
      <c r="Y154" s="10">
        <f t="shared" si="81"/>
        <v>0</v>
      </c>
      <c r="Z154" s="10">
        <f>IF(Y154&lt;=0,0,Y154*Financiamento_EV!$C$6)</f>
        <v>0</v>
      </c>
      <c r="AA154" s="10">
        <f>IF(Y154&lt;=0,0,IF(Financiamento_EV!$C$6=0,Y154/(Financiamento_EV!$C$7-V154+1),Y154*Financiamento_EV!$C$6/(1-(1+Financiamento_EV!$C$6)^(-(Financiamento_EV!$C$7-V154+1)))))</f>
        <v>0</v>
      </c>
      <c r="AB154" s="10">
        <f t="shared" si="82"/>
        <v>0</v>
      </c>
      <c r="AC154" s="10">
        <f>IF(Y154&lt;=0,0,MIN(IF(ISNUMBER(INDEX(Financiamento_EV!$I$17:$I$136,V154)),MAX(0,INDEX(Financiamento_EV!$I$17:$I$136,V154)),IF(V154&gt;=Financiamento_EV!$C$11,Financiamento_EV!$C$10,0)),MAX(0,Y154-AB154)))</f>
        <v>0</v>
      </c>
      <c r="AD154" s="10">
        <f>IF(OR(Y154&lt;=0,V154&lt;Financiamento_EV!$C$11),0,MIN(MAX(0,Financiamento_EV!$F$5-AA154),MAX(0,Y154-AB154-AC154)))</f>
        <v>0</v>
      </c>
      <c r="AE154" s="10">
        <f t="shared" si="83"/>
        <v>0</v>
      </c>
      <c r="AF154" s="10">
        <f t="shared" si="84"/>
        <v>0</v>
      </c>
      <c r="AG154" s="10">
        <f t="shared" si="85"/>
        <v>0</v>
      </c>
    </row>
  </sheetData>
  <mergeCells count="5">
    <mergeCell ref="C4:D4"/>
    <mergeCell ref="E4:F4"/>
    <mergeCell ref="A4:B4"/>
    <mergeCell ref="A1:L1"/>
    <mergeCell ref="A2:L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30"/>
  <sheetViews>
    <sheetView workbookViewId="0">
      <selection sqref="A1:P1"/>
    </sheetView>
  </sheetViews>
  <sheetFormatPr defaultRowHeight="13.5"/>
  <cols>
    <col min="1" max="1" width="7.9375" customWidth="1"/>
    <col min="2" max="2" width="13.0625" customWidth="1"/>
    <col min="3" max="16" width="16.9375" customWidth="1"/>
  </cols>
  <sheetData>
    <row r="1" spans="1:21" ht="15" customHeight="1">
      <c r="A1" s="204" t="s">
        <v>526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</row>
    <row r="2" spans="1:21">
      <c r="A2" s="205" t="s">
        <v>527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</row>
    <row r="4" spans="1:21" ht="13.9">
      <c r="A4" s="57" t="s">
        <v>528</v>
      </c>
      <c r="B4" s="12">
        <f>IF(N11="","",N11)</f>
        <v>1530.603617730013</v>
      </c>
      <c r="C4" s="57" t="s">
        <v>529</v>
      </c>
      <c r="D4" s="12">
        <f>IFERROR(SUMIF(F11:F130,"&gt;0",N11:N130)/COUNTIF(F11:F130,"&gt;0"),"")</f>
        <v>1530.6036177300005</v>
      </c>
      <c r="E4" s="57" t="s">
        <v>530</v>
      </c>
      <c r="F4" s="12">
        <f>IF(Comparador_EV!J16="","",Comparador_EV!J16-Dashboard!H12)</f>
        <v>-920.90733333333355</v>
      </c>
      <c r="G4" s="57" t="s">
        <v>531</v>
      </c>
      <c r="H4" s="12">
        <f>IFERROR(SUMIF(F11:F130,"&gt;0",N11:N130),"")</f>
        <v>73468.973651040025</v>
      </c>
      <c r="I4" s="57" t="s">
        <v>333</v>
      </c>
      <c r="J4" s="64">
        <f>Financiamento_EV!F6</f>
        <v>48</v>
      </c>
      <c r="K4" s="57" t="s">
        <v>334</v>
      </c>
      <c r="L4" s="65">
        <f>Financiamento_EV!F7</f>
        <v>47696</v>
      </c>
    </row>
    <row r="8" spans="1:21" ht="13.9">
      <c r="A8" s="206" t="s">
        <v>532</v>
      </c>
      <c r="B8" s="206"/>
      <c r="C8" s="206"/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</row>
    <row r="9" spans="1:21" ht="41.65">
      <c r="A9" s="63" t="s">
        <v>143</v>
      </c>
      <c r="B9" s="63" t="s">
        <v>162</v>
      </c>
      <c r="C9" s="63" t="s">
        <v>505</v>
      </c>
      <c r="D9" s="63" t="s">
        <v>508</v>
      </c>
      <c r="E9" s="63" t="s">
        <v>496</v>
      </c>
      <c r="F9" s="63" t="s">
        <v>533</v>
      </c>
      <c r="G9" s="63" t="s">
        <v>534</v>
      </c>
      <c r="H9" s="63" t="s">
        <v>310</v>
      </c>
      <c r="I9" s="63" t="s">
        <v>292</v>
      </c>
      <c r="J9" s="63" t="s">
        <v>18</v>
      </c>
      <c r="K9" s="63" t="s">
        <v>535</v>
      </c>
      <c r="L9" s="63" t="s">
        <v>536</v>
      </c>
      <c r="M9" s="63" t="s">
        <v>537</v>
      </c>
      <c r="N9" s="63" t="s">
        <v>538</v>
      </c>
      <c r="O9" s="63" t="s">
        <v>539</v>
      </c>
      <c r="P9" s="63" t="s">
        <v>540</v>
      </c>
      <c r="R9" t="s">
        <v>143</v>
      </c>
      <c r="S9" t="s">
        <v>541</v>
      </c>
      <c r="T9" t="s">
        <v>340</v>
      </c>
      <c r="U9" t="s">
        <v>542</v>
      </c>
    </row>
    <row r="10" spans="1:21">
      <c r="R10">
        <f t="shared" ref="R10:R41" si="0">A11</f>
        <v>1</v>
      </c>
      <c r="S10">
        <f t="shared" ref="S10:S41" si="1">L11</f>
        <v>3835.1536177300131</v>
      </c>
      <c r="T10">
        <f t="shared" ref="T10:T41" si="2">M11</f>
        <v>2304.5500000000002</v>
      </c>
      <c r="U10">
        <f t="shared" ref="U10:U41" si="3">N11</f>
        <v>1530.603617730013</v>
      </c>
    </row>
    <row r="11" spans="1:21">
      <c r="A11">
        <v>1</v>
      </c>
      <c r="B11" s="62">
        <f>INDEX(Financiamento_EV!$B$17:$B$136,A11)</f>
        <v>46266</v>
      </c>
      <c r="C11" s="10">
        <f>INDEX(Financiamento_EV!$G$17:$G$136,A11)</f>
        <v>2451.5109510633461</v>
      </c>
      <c r="D11" s="10">
        <f>INDEX(Financiamento_EV!$L$17:$L$136,A11)</f>
        <v>0</v>
      </c>
      <c r="E11" s="10">
        <f>INDEX(Financiamento_EV!$M$17:$M$136,A11)</f>
        <v>0</v>
      </c>
      <c r="F11" s="10">
        <f>INDEX(Financiamento_EV!$N$17:$N$136,A11)</f>
        <v>2451.5109510633461</v>
      </c>
      <c r="G11" s="10">
        <f>IF(Comparador_EV!$J$8="","",Comparador_EV!$J$8/12)</f>
        <v>471.63600000000002</v>
      </c>
      <c r="H11" s="10">
        <f>IF(Comparador_EV!$J$12="","",Comparador_EV!$J$12/12)</f>
        <v>64.166666666666671</v>
      </c>
      <c r="I11" s="10">
        <f>IF(Comparador_EV!$J$9="","",Comparador_EV!$J$9/12)</f>
        <v>466.66666666666669</v>
      </c>
      <c r="J11" s="10">
        <f>IF(OR(Comparador_EV!$J$10="",Comparador_EV!$J$11=""),"",(Comparador_EV!$J$10+Comparador_EV!$J$11)/12)</f>
        <v>381.17333333333335</v>
      </c>
      <c r="K11" s="10">
        <f t="shared" ref="K11:K42" si="4">IF(COUNT(G11:J11)&lt;4,"",SUM(G11:J11))</f>
        <v>1383.6426666666669</v>
      </c>
      <c r="L11" s="10">
        <f t="shared" ref="L11:L42" si="5">IF(K11="","",F11+K11)</f>
        <v>3835.1536177300131</v>
      </c>
      <c r="M11" s="10">
        <f>Dashboard!$H$12</f>
        <v>2304.5500000000002</v>
      </c>
      <c r="N11" s="10">
        <f t="shared" ref="N11:N42" si="6">IF(OR(L11="",M11=""),"",L11-M11)</f>
        <v>1530.603617730013</v>
      </c>
      <c r="O11" s="10">
        <f>INDEX(Financiamento_EV!$O$17:$O$136,A11)</f>
        <v>78908.489048936652</v>
      </c>
      <c r="P11" s="10">
        <f>N11</f>
        <v>1530.603617730013</v>
      </c>
      <c r="R11">
        <f t="shared" si="0"/>
        <v>2</v>
      </c>
      <c r="S11">
        <f t="shared" si="1"/>
        <v>3835.1536177300131</v>
      </c>
      <c r="T11">
        <f t="shared" si="2"/>
        <v>2304.5500000000002</v>
      </c>
      <c r="U11">
        <f t="shared" si="3"/>
        <v>1530.603617730013</v>
      </c>
    </row>
    <row r="12" spans="1:21">
      <c r="A12">
        <v>2</v>
      </c>
      <c r="B12" s="62">
        <f>INDEX(Financiamento_EV!$B$17:$B$136,A12)</f>
        <v>46296</v>
      </c>
      <c r="C12" s="10">
        <f>INDEX(Financiamento_EV!$G$17:$G$136,A12)</f>
        <v>2451.5109510633461</v>
      </c>
      <c r="D12" s="10">
        <f>INDEX(Financiamento_EV!$L$17:$L$136,A12)</f>
        <v>0</v>
      </c>
      <c r="E12" s="10">
        <f>INDEX(Financiamento_EV!$M$17:$M$136,A12)</f>
        <v>0</v>
      </c>
      <c r="F12" s="10">
        <f>INDEX(Financiamento_EV!$N$17:$N$136,A12)</f>
        <v>2451.5109510633461</v>
      </c>
      <c r="G12" s="10">
        <f>IF(Comparador_EV!$J$8="","",Comparador_EV!$J$8/12)</f>
        <v>471.63600000000002</v>
      </c>
      <c r="H12" s="10">
        <f>IF(Comparador_EV!$J$12="","",Comparador_EV!$J$12/12)</f>
        <v>64.166666666666671</v>
      </c>
      <c r="I12" s="10">
        <f>IF(Comparador_EV!$J$9="","",Comparador_EV!$J$9/12)</f>
        <v>466.66666666666669</v>
      </c>
      <c r="J12" s="10">
        <f>IF(OR(Comparador_EV!$J$10="",Comparador_EV!$J$11=""),"",(Comparador_EV!$J$10+Comparador_EV!$J$11)/12)</f>
        <v>381.17333333333335</v>
      </c>
      <c r="K12" s="10">
        <f t="shared" si="4"/>
        <v>1383.6426666666669</v>
      </c>
      <c r="L12" s="10">
        <f t="shared" si="5"/>
        <v>3835.1536177300131</v>
      </c>
      <c r="M12" s="10">
        <f>Dashboard!$H$12</f>
        <v>2304.5500000000002</v>
      </c>
      <c r="N12" s="10">
        <f t="shared" si="6"/>
        <v>1530.603617730013</v>
      </c>
      <c r="O12" s="10">
        <f>INDEX(Financiamento_EV!$O$17:$O$136,A12)</f>
        <v>77798.422411705222</v>
      </c>
      <c r="P12" s="10">
        <f t="shared" ref="P12:P43" si="7">P11+N12</f>
        <v>3061.2072354600259</v>
      </c>
      <c r="R12">
        <f t="shared" si="0"/>
        <v>3</v>
      </c>
      <c r="S12">
        <f t="shared" si="1"/>
        <v>3835.1536177300131</v>
      </c>
      <c r="T12">
        <f t="shared" si="2"/>
        <v>2304.5500000000002</v>
      </c>
      <c r="U12">
        <f t="shared" si="3"/>
        <v>1530.603617730013</v>
      </c>
    </row>
    <row r="13" spans="1:21">
      <c r="A13">
        <v>3</v>
      </c>
      <c r="B13" s="62">
        <f>INDEX(Financiamento_EV!$B$17:$B$136,A13)</f>
        <v>46327</v>
      </c>
      <c r="C13" s="10">
        <f>INDEX(Financiamento_EV!$G$17:$G$136,A13)</f>
        <v>2451.5109510633451</v>
      </c>
      <c r="D13" s="10">
        <f>INDEX(Financiamento_EV!$L$17:$L$136,A13)</f>
        <v>0</v>
      </c>
      <c r="E13" s="10">
        <f>INDEX(Financiamento_EV!$M$17:$M$136,A13)</f>
        <v>9.0949470177292824E-13</v>
      </c>
      <c r="F13" s="10">
        <f>INDEX(Financiamento_EV!$N$17:$N$136,A13)</f>
        <v>2451.5109510633461</v>
      </c>
      <c r="G13" s="10">
        <f>IF(Comparador_EV!$J$8="","",Comparador_EV!$J$8/12)</f>
        <v>471.63600000000002</v>
      </c>
      <c r="H13" s="10">
        <f>IF(Comparador_EV!$J$12="","",Comparador_EV!$J$12/12)</f>
        <v>64.166666666666671</v>
      </c>
      <c r="I13" s="10">
        <f>IF(Comparador_EV!$J$9="","",Comparador_EV!$J$9/12)</f>
        <v>466.66666666666669</v>
      </c>
      <c r="J13" s="10">
        <f>IF(OR(Comparador_EV!$J$10="",Comparador_EV!$J$11=""),"",(Comparador_EV!$J$10+Comparador_EV!$J$11)/12)</f>
        <v>381.17333333333335</v>
      </c>
      <c r="K13" s="10">
        <f t="shared" si="4"/>
        <v>1383.6426666666669</v>
      </c>
      <c r="L13" s="10">
        <f t="shared" si="5"/>
        <v>3835.1536177300131</v>
      </c>
      <c r="M13" s="10">
        <f>Dashboard!$H$12</f>
        <v>2304.5500000000002</v>
      </c>
      <c r="N13" s="10">
        <f t="shared" si="6"/>
        <v>1530.603617730013</v>
      </c>
      <c r="O13" s="10">
        <f>INDEX(Financiamento_EV!$O$17:$O$136,A13)</f>
        <v>76669.484641640869</v>
      </c>
      <c r="P13" s="10">
        <f t="shared" si="7"/>
        <v>4591.8108531900389</v>
      </c>
      <c r="R13">
        <f t="shared" si="0"/>
        <v>4</v>
      </c>
      <c r="S13">
        <f t="shared" si="1"/>
        <v>3835.1536177300131</v>
      </c>
      <c r="T13">
        <f t="shared" si="2"/>
        <v>2304.5500000000002</v>
      </c>
      <c r="U13">
        <f t="shared" si="3"/>
        <v>1530.603617730013</v>
      </c>
    </row>
    <row r="14" spans="1:21">
      <c r="A14">
        <v>4</v>
      </c>
      <c r="B14" s="62">
        <f>INDEX(Financiamento_EV!$B$17:$B$136,A14)</f>
        <v>46357</v>
      </c>
      <c r="C14" s="10">
        <f>INDEX(Financiamento_EV!$G$17:$G$136,A14)</f>
        <v>2451.5109510633456</v>
      </c>
      <c r="D14" s="10">
        <f>INDEX(Financiamento_EV!$L$17:$L$136,A14)</f>
        <v>0</v>
      </c>
      <c r="E14" s="10">
        <f>INDEX(Financiamento_EV!$M$17:$M$136,A14)</f>
        <v>4.5474735088646412E-13</v>
      </c>
      <c r="F14" s="10">
        <f>INDEX(Financiamento_EV!$N$17:$N$136,A14)</f>
        <v>2451.5109510633461</v>
      </c>
      <c r="G14" s="10">
        <f>IF(Comparador_EV!$J$8="","",Comparador_EV!$J$8/12)</f>
        <v>471.63600000000002</v>
      </c>
      <c r="H14" s="10">
        <f>IF(Comparador_EV!$J$12="","",Comparador_EV!$J$12/12)</f>
        <v>64.166666666666671</v>
      </c>
      <c r="I14" s="10">
        <f>IF(Comparador_EV!$J$9="","",Comparador_EV!$J$9/12)</f>
        <v>466.66666666666669</v>
      </c>
      <c r="J14" s="10">
        <f>IF(OR(Comparador_EV!$J$10="",Comparador_EV!$J$11=""),"",(Comparador_EV!$J$10+Comparador_EV!$J$11)/12)</f>
        <v>381.17333333333335</v>
      </c>
      <c r="K14" s="10">
        <f t="shared" si="4"/>
        <v>1383.6426666666669</v>
      </c>
      <c r="L14" s="10">
        <f t="shared" si="5"/>
        <v>3835.1536177300131</v>
      </c>
      <c r="M14" s="10">
        <f>Dashboard!$H$12</f>
        <v>2304.5500000000002</v>
      </c>
      <c r="N14" s="10">
        <f t="shared" si="6"/>
        <v>1530.603617730013</v>
      </c>
      <c r="O14" s="10">
        <f>INDEX(Financiamento_EV!$O$17:$O$136,A14)</f>
        <v>75521.354929485417</v>
      </c>
      <c r="P14" s="10">
        <f t="shared" si="7"/>
        <v>6122.4144709200518</v>
      </c>
      <c r="R14">
        <f t="shared" si="0"/>
        <v>5</v>
      </c>
      <c r="S14">
        <f t="shared" si="1"/>
        <v>3835.1536177300131</v>
      </c>
      <c r="T14">
        <f t="shared" si="2"/>
        <v>2304.5500000000002</v>
      </c>
      <c r="U14">
        <f t="shared" si="3"/>
        <v>1530.603617730013</v>
      </c>
    </row>
    <row r="15" spans="1:21">
      <c r="A15">
        <v>5</v>
      </c>
      <c r="B15" s="62">
        <f>INDEX(Financiamento_EV!$B$17:$B$136,A15)</f>
        <v>46388</v>
      </c>
      <c r="C15" s="10">
        <f>INDEX(Financiamento_EV!$G$17:$G$136,A15)</f>
        <v>2451.5109510633451</v>
      </c>
      <c r="D15" s="10">
        <f>INDEX(Financiamento_EV!$L$17:$L$136,A15)</f>
        <v>0</v>
      </c>
      <c r="E15" s="10">
        <f>INDEX(Financiamento_EV!$M$17:$M$136,A15)</f>
        <v>9.0949470177292824E-13</v>
      </c>
      <c r="F15" s="10">
        <f>INDEX(Financiamento_EV!$N$17:$N$136,A15)</f>
        <v>2451.5109510633461</v>
      </c>
      <c r="G15" s="10">
        <f>IF(Comparador_EV!$J$8="","",Comparador_EV!$J$8/12)</f>
        <v>471.63600000000002</v>
      </c>
      <c r="H15" s="10">
        <f>IF(Comparador_EV!$J$12="","",Comparador_EV!$J$12/12)</f>
        <v>64.166666666666671</v>
      </c>
      <c r="I15" s="10">
        <f>IF(Comparador_EV!$J$9="","",Comparador_EV!$J$9/12)</f>
        <v>466.66666666666669</v>
      </c>
      <c r="J15" s="10">
        <f>IF(OR(Comparador_EV!$J$10="",Comparador_EV!$J$11=""),"",(Comparador_EV!$J$10+Comparador_EV!$J$11)/12)</f>
        <v>381.17333333333335</v>
      </c>
      <c r="K15" s="10">
        <f t="shared" si="4"/>
        <v>1383.6426666666669</v>
      </c>
      <c r="L15" s="10">
        <f t="shared" si="5"/>
        <v>3835.1536177300131</v>
      </c>
      <c r="M15" s="10">
        <f>Dashboard!$H$12</f>
        <v>2304.5500000000002</v>
      </c>
      <c r="N15" s="10">
        <f t="shared" si="6"/>
        <v>1530.603617730013</v>
      </c>
      <c r="O15" s="10">
        <f>INDEX(Financiamento_EV!$O$17:$O$136,A15)</f>
        <v>74353.707012223327</v>
      </c>
      <c r="P15" s="10">
        <f t="shared" si="7"/>
        <v>7653.0180886500648</v>
      </c>
      <c r="R15">
        <f t="shared" si="0"/>
        <v>6</v>
      </c>
      <c r="S15">
        <f t="shared" si="1"/>
        <v>3835.1536177300131</v>
      </c>
      <c r="T15">
        <f t="shared" si="2"/>
        <v>2304.5500000000002</v>
      </c>
      <c r="U15">
        <f t="shared" si="3"/>
        <v>1530.603617730013</v>
      </c>
    </row>
    <row r="16" spans="1:21">
      <c r="A16">
        <v>6</v>
      </c>
      <c r="B16" s="62">
        <f>INDEX(Financiamento_EV!$B$17:$B$136,A16)</f>
        <v>46419</v>
      </c>
      <c r="C16" s="10">
        <f>INDEX(Financiamento_EV!$G$17:$G$136,A16)</f>
        <v>2451.5109510633451</v>
      </c>
      <c r="D16" s="10">
        <f>INDEX(Financiamento_EV!$L$17:$L$136,A16)</f>
        <v>0</v>
      </c>
      <c r="E16" s="10">
        <f>INDEX(Financiamento_EV!$M$17:$M$136,A16)</f>
        <v>9.0949470177292824E-13</v>
      </c>
      <c r="F16" s="10">
        <f>INDEX(Financiamento_EV!$N$17:$N$136,A16)</f>
        <v>2451.5109510633461</v>
      </c>
      <c r="G16" s="10">
        <f>IF(Comparador_EV!$J$8="","",Comparador_EV!$J$8/12)</f>
        <v>471.63600000000002</v>
      </c>
      <c r="H16" s="10">
        <f>IF(Comparador_EV!$J$12="","",Comparador_EV!$J$12/12)</f>
        <v>64.166666666666671</v>
      </c>
      <c r="I16" s="10">
        <f>IF(Comparador_EV!$J$9="","",Comparador_EV!$J$9/12)</f>
        <v>466.66666666666669</v>
      </c>
      <c r="J16" s="10">
        <f>IF(OR(Comparador_EV!$J$10="",Comparador_EV!$J$11=""),"",(Comparador_EV!$J$10+Comparador_EV!$J$11)/12)</f>
        <v>381.17333333333335</v>
      </c>
      <c r="K16" s="10">
        <f t="shared" si="4"/>
        <v>1383.6426666666669</v>
      </c>
      <c r="L16" s="10">
        <f t="shared" si="5"/>
        <v>3835.1536177300131</v>
      </c>
      <c r="M16" s="10">
        <f>Dashboard!$H$12</f>
        <v>2304.5500000000002</v>
      </c>
      <c r="N16" s="10">
        <f t="shared" si="6"/>
        <v>1530.603617730013</v>
      </c>
      <c r="O16" s="10">
        <f>INDEX(Financiamento_EV!$O$17:$O$136,A16)</f>
        <v>73166.209080367786</v>
      </c>
      <c r="P16" s="10">
        <f t="shared" si="7"/>
        <v>9183.6217063800777</v>
      </c>
      <c r="R16">
        <f t="shared" si="0"/>
        <v>7</v>
      </c>
      <c r="S16">
        <f t="shared" si="1"/>
        <v>3835.1536177300131</v>
      </c>
      <c r="T16">
        <f t="shared" si="2"/>
        <v>2304.5500000000002</v>
      </c>
      <c r="U16">
        <f t="shared" si="3"/>
        <v>1530.603617730013</v>
      </c>
    </row>
    <row r="17" spans="1:21">
      <c r="A17">
        <v>7</v>
      </c>
      <c r="B17" s="62">
        <f>INDEX(Financiamento_EV!$B$17:$B$136,A17)</f>
        <v>46447</v>
      </c>
      <c r="C17" s="10">
        <f>INDEX(Financiamento_EV!$G$17:$G$136,A17)</f>
        <v>2451.5109510633451</v>
      </c>
      <c r="D17" s="10">
        <f>INDEX(Financiamento_EV!$L$17:$L$136,A17)</f>
        <v>0</v>
      </c>
      <c r="E17" s="10">
        <f>INDEX(Financiamento_EV!$M$17:$M$136,A17)</f>
        <v>9.0949470177292824E-13</v>
      </c>
      <c r="F17" s="10">
        <f>INDEX(Financiamento_EV!$N$17:$N$136,A17)</f>
        <v>2451.5109510633461</v>
      </c>
      <c r="G17" s="10">
        <f>IF(Comparador_EV!$J$8="","",Comparador_EV!$J$8/12)</f>
        <v>471.63600000000002</v>
      </c>
      <c r="H17" s="10">
        <f>IF(Comparador_EV!$J$12="","",Comparador_EV!$J$12/12)</f>
        <v>64.166666666666671</v>
      </c>
      <c r="I17" s="10">
        <f>IF(Comparador_EV!$J$9="","",Comparador_EV!$J$9/12)</f>
        <v>466.66666666666669</v>
      </c>
      <c r="J17" s="10">
        <f>IF(OR(Comparador_EV!$J$10="",Comparador_EV!$J$11=""),"",(Comparador_EV!$J$10+Comparador_EV!$J$11)/12)</f>
        <v>381.17333333333335</v>
      </c>
      <c r="K17" s="10">
        <f t="shared" si="4"/>
        <v>1383.6426666666669</v>
      </c>
      <c r="L17" s="10">
        <f t="shared" si="5"/>
        <v>3835.1536177300131</v>
      </c>
      <c r="M17" s="10">
        <f>Dashboard!$H$12</f>
        <v>2304.5500000000002</v>
      </c>
      <c r="N17" s="10">
        <f t="shared" si="6"/>
        <v>1530.603617730013</v>
      </c>
      <c r="O17" s="10">
        <f>INDEX(Financiamento_EV!$O$17:$O$136,A17)</f>
        <v>71958.52368367069</v>
      </c>
      <c r="P17" s="10">
        <f t="shared" si="7"/>
        <v>10714.225324110092</v>
      </c>
      <c r="R17">
        <f t="shared" si="0"/>
        <v>8</v>
      </c>
      <c r="S17">
        <f t="shared" si="1"/>
        <v>3835.1536177300131</v>
      </c>
      <c r="T17">
        <f t="shared" si="2"/>
        <v>2304.5500000000002</v>
      </c>
      <c r="U17">
        <f t="shared" si="3"/>
        <v>1530.603617730013</v>
      </c>
    </row>
    <row r="18" spans="1:21">
      <c r="A18">
        <v>8</v>
      </c>
      <c r="B18" s="62">
        <f>INDEX(Financiamento_EV!$B$17:$B$136,A18)</f>
        <v>46478</v>
      </c>
      <c r="C18" s="10">
        <f>INDEX(Financiamento_EV!$G$17:$G$136,A18)</f>
        <v>2451.5109510633451</v>
      </c>
      <c r="D18" s="10">
        <f>INDEX(Financiamento_EV!$L$17:$L$136,A18)</f>
        <v>0</v>
      </c>
      <c r="E18" s="10">
        <f>INDEX(Financiamento_EV!$M$17:$M$136,A18)</f>
        <v>9.0949470177292824E-13</v>
      </c>
      <c r="F18" s="10">
        <f>INDEX(Financiamento_EV!$N$17:$N$136,A18)</f>
        <v>2451.5109510633461</v>
      </c>
      <c r="G18" s="10">
        <f>IF(Comparador_EV!$J$8="","",Comparador_EV!$J$8/12)</f>
        <v>471.63600000000002</v>
      </c>
      <c r="H18" s="10">
        <f>IF(Comparador_EV!$J$12="","",Comparador_EV!$J$12/12)</f>
        <v>64.166666666666671</v>
      </c>
      <c r="I18" s="10">
        <f>IF(Comparador_EV!$J$9="","",Comparador_EV!$J$9/12)</f>
        <v>466.66666666666669</v>
      </c>
      <c r="J18" s="10">
        <f>IF(OR(Comparador_EV!$J$10="",Comparador_EV!$J$11=""),"",(Comparador_EV!$J$10+Comparador_EV!$J$11)/12)</f>
        <v>381.17333333333335</v>
      </c>
      <c r="K18" s="10">
        <f t="shared" si="4"/>
        <v>1383.6426666666669</v>
      </c>
      <c r="L18" s="10">
        <f t="shared" si="5"/>
        <v>3835.1536177300131</v>
      </c>
      <c r="M18" s="10">
        <f>Dashboard!$H$12</f>
        <v>2304.5500000000002</v>
      </c>
      <c r="N18" s="10">
        <f t="shared" si="6"/>
        <v>1530.603617730013</v>
      </c>
      <c r="O18" s="10">
        <f>INDEX(Financiamento_EV!$O$17:$O$136,A18)</f>
        <v>70730.30763522975</v>
      </c>
      <c r="P18" s="10">
        <f t="shared" si="7"/>
        <v>12244.828941840104</v>
      </c>
      <c r="R18">
        <f t="shared" si="0"/>
        <v>9</v>
      </c>
      <c r="S18">
        <f t="shared" si="1"/>
        <v>3835.1536177300131</v>
      </c>
      <c r="T18">
        <f t="shared" si="2"/>
        <v>2304.5500000000002</v>
      </c>
      <c r="U18">
        <f t="shared" si="3"/>
        <v>1530.603617730013</v>
      </c>
    </row>
    <row r="19" spans="1:21">
      <c r="A19">
        <v>9</v>
      </c>
      <c r="B19" s="62">
        <f>INDEX(Financiamento_EV!$B$17:$B$136,A19)</f>
        <v>46508</v>
      </c>
      <c r="C19" s="10">
        <f>INDEX(Financiamento_EV!$G$17:$G$136,A19)</f>
        <v>2451.5109510633447</v>
      </c>
      <c r="D19" s="10">
        <f>INDEX(Financiamento_EV!$L$17:$L$136,A19)</f>
        <v>0</v>
      </c>
      <c r="E19" s="10">
        <f>INDEX(Financiamento_EV!$M$17:$M$136,A19)</f>
        <v>1.3642420526593924E-12</v>
      </c>
      <c r="F19" s="10">
        <f>INDEX(Financiamento_EV!$N$17:$N$136,A19)</f>
        <v>2451.5109510633461</v>
      </c>
      <c r="G19" s="10">
        <f>IF(Comparador_EV!$J$8="","",Comparador_EV!$J$8/12)</f>
        <v>471.63600000000002</v>
      </c>
      <c r="H19" s="10">
        <f>IF(Comparador_EV!$J$12="","",Comparador_EV!$J$12/12)</f>
        <v>64.166666666666671</v>
      </c>
      <c r="I19" s="10">
        <f>IF(Comparador_EV!$J$9="","",Comparador_EV!$J$9/12)</f>
        <v>466.66666666666669</v>
      </c>
      <c r="J19" s="10">
        <f>IF(OR(Comparador_EV!$J$10="",Comparador_EV!$J$11=""),"",(Comparador_EV!$J$10+Comparador_EV!$J$11)/12)</f>
        <v>381.17333333333335</v>
      </c>
      <c r="K19" s="10">
        <f t="shared" si="4"/>
        <v>1383.6426666666669</v>
      </c>
      <c r="L19" s="10">
        <f t="shared" si="5"/>
        <v>3835.1536177300131</v>
      </c>
      <c r="M19" s="10">
        <f>Dashboard!$H$12</f>
        <v>2304.5500000000002</v>
      </c>
      <c r="N19" s="10">
        <f t="shared" si="6"/>
        <v>1530.603617730013</v>
      </c>
      <c r="O19" s="10">
        <f>INDEX(Financiamento_EV!$O$17:$O$136,A19)</f>
        <v>69481.211913965308</v>
      </c>
      <c r="P19" s="10">
        <f t="shared" si="7"/>
        <v>13775.432559570116</v>
      </c>
      <c r="R19">
        <f t="shared" si="0"/>
        <v>10</v>
      </c>
      <c r="S19">
        <f t="shared" si="1"/>
        <v>3835.1536177300131</v>
      </c>
      <c r="T19">
        <f t="shared" si="2"/>
        <v>2304.5500000000002</v>
      </c>
      <c r="U19">
        <f t="shared" si="3"/>
        <v>1530.603617730013</v>
      </c>
    </row>
    <row r="20" spans="1:21">
      <c r="A20">
        <v>10</v>
      </c>
      <c r="B20" s="62">
        <f>INDEX(Financiamento_EV!$B$17:$B$136,A20)</f>
        <v>46539</v>
      </c>
      <c r="C20" s="10">
        <f>INDEX(Financiamento_EV!$G$17:$G$136,A20)</f>
        <v>2451.5109510633447</v>
      </c>
      <c r="D20" s="10">
        <f>INDEX(Financiamento_EV!$L$17:$L$136,A20)</f>
        <v>0</v>
      </c>
      <c r="E20" s="10">
        <f>INDEX(Financiamento_EV!$M$17:$M$136,A20)</f>
        <v>1.3642420526593924E-12</v>
      </c>
      <c r="F20" s="10">
        <f>INDEX(Financiamento_EV!$N$17:$N$136,A20)</f>
        <v>2451.5109510633461</v>
      </c>
      <c r="G20" s="10">
        <f>IF(Comparador_EV!$J$8="","",Comparador_EV!$J$8/12)</f>
        <v>471.63600000000002</v>
      </c>
      <c r="H20" s="10">
        <f>IF(Comparador_EV!$J$12="","",Comparador_EV!$J$12/12)</f>
        <v>64.166666666666671</v>
      </c>
      <c r="I20" s="10">
        <f>IF(Comparador_EV!$J$9="","",Comparador_EV!$J$9/12)</f>
        <v>466.66666666666669</v>
      </c>
      <c r="J20" s="10">
        <f>IF(OR(Comparador_EV!$J$10="",Comparador_EV!$J$11=""),"",(Comparador_EV!$J$10+Comparador_EV!$J$11)/12)</f>
        <v>381.17333333333335</v>
      </c>
      <c r="K20" s="10">
        <f t="shared" si="4"/>
        <v>1383.6426666666669</v>
      </c>
      <c r="L20" s="10">
        <f t="shared" si="5"/>
        <v>3835.1536177300131</v>
      </c>
      <c r="M20" s="10">
        <f>Dashboard!$H$12</f>
        <v>2304.5500000000002</v>
      </c>
      <c r="N20" s="10">
        <f t="shared" si="6"/>
        <v>1530.603617730013</v>
      </c>
      <c r="O20" s="10">
        <f>INDEX(Financiamento_EV!$O$17:$O$136,A20)</f>
        <v>68210.881565439369</v>
      </c>
      <c r="P20" s="10">
        <f t="shared" si="7"/>
        <v>15306.036177300128</v>
      </c>
      <c r="R20">
        <f t="shared" si="0"/>
        <v>11</v>
      </c>
      <c r="S20">
        <f t="shared" si="1"/>
        <v>3835.1536177300131</v>
      </c>
      <c r="T20">
        <f t="shared" si="2"/>
        <v>2304.5500000000002</v>
      </c>
      <c r="U20">
        <f t="shared" si="3"/>
        <v>1530.603617730013</v>
      </c>
    </row>
    <row r="21" spans="1:21">
      <c r="A21">
        <v>11</v>
      </c>
      <c r="B21" s="62">
        <f>INDEX(Financiamento_EV!$B$17:$B$136,A21)</f>
        <v>46569</v>
      </c>
      <c r="C21" s="10">
        <f>INDEX(Financiamento_EV!$G$17:$G$136,A21)</f>
        <v>2451.5109510633438</v>
      </c>
      <c r="D21" s="10">
        <f>INDEX(Financiamento_EV!$L$17:$L$136,A21)</f>
        <v>0</v>
      </c>
      <c r="E21" s="10">
        <f>INDEX(Financiamento_EV!$M$17:$M$136,A21)</f>
        <v>2.2737367544323206E-12</v>
      </c>
      <c r="F21" s="10">
        <f>INDEX(Financiamento_EV!$N$17:$N$136,A21)</f>
        <v>2451.5109510633461</v>
      </c>
      <c r="G21" s="10">
        <f>IF(Comparador_EV!$J$8="","",Comparador_EV!$J$8/12)</f>
        <v>471.63600000000002</v>
      </c>
      <c r="H21" s="10">
        <f>IF(Comparador_EV!$J$12="","",Comparador_EV!$J$12/12)</f>
        <v>64.166666666666671</v>
      </c>
      <c r="I21" s="10">
        <f>IF(Comparador_EV!$J$9="","",Comparador_EV!$J$9/12)</f>
        <v>466.66666666666669</v>
      </c>
      <c r="J21" s="10">
        <f>IF(OR(Comparador_EV!$J$10="",Comparador_EV!$J$11=""),"",(Comparador_EV!$J$10+Comparador_EV!$J$11)/12)</f>
        <v>381.17333333333335</v>
      </c>
      <c r="K21" s="10">
        <f t="shared" si="4"/>
        <v>1383.6426666666669</v>
      </c>
      <c r="L21" s="10">
        <f t="shared" si="5"/>
        <v>3835.1536177300131</v>
      </c>
      <c r="M21" s="10">
        <f>Dashboard!$H$12</f>
        <v>2304.5500000000002</v>
      </c>
      <c r="N21" s="10">
        <f t="shared" si="6"/>
        <v>1530.603617730013</v>
      </c>
      <c r="O21" s="10">
        <f>INDEX(Financiamento_EV!$O$17:$O$136,A21)</f>
        <v>66918.955600988498</v>
      </c>
      <c r="P21" s="10">
        <f t="shared" si="7"/>
        <v>16836.63979503014</v>
      </c>
      <c r="R21">
        <f t="shared" si="0"/>
        <v>12</v>
      </c>
      <c r="S21">
        <f t="shared" si="1"/>
        <v>3835.1536177300131</v>
      </c>
      <c r="T21">
        <f t="shared" si="2"/>
        <v>2304.5500000000002</v>
      </c>
      <c r="U21">
        <f t="shared" si="3"/>
        <v>1530.603617730013</v>
      </c>
    </row>
    <row r="22" spans="1:21">
      <c r="A22">
        <v>12</v>
      </c>
      <c r="B22" s="62">
        <f>INDEX(Financiamento_EV!$B$17:$B$136,A22)</f>
        <v>46600</v>
      </c>
      <c r="C22" s="10">
        <f>INDEX(Financiamento_EV!$G$17:$G$136,A22)</f>
        <v>2451.5109510633442</v>
      </c>
      <c r="D22" s="10">
        <f>INDEX(Financiamento_EV!$L$17:$L$136,A22)</f>
        <v>0</v>
      </c>
      <c r="E22" s="10">
        <f>INDEX(Financiamento_EV!$M$17:$M$136,A22)</f>
        <v>1.8189894035458565E-12</v>
      </c>
      <c r="F22" s="10">
        <f>INDEX(Financiamento_EV!$N$17:$N$136,A22)</f>
        <v>2451.5109510633461</v>
      </c>
      <c r="G22" s="10">
        <f>IF(Comparador_EV!$J$8="","",Comparador_EV!$J$8/12)</f>
        <v>471.63600000000002</v>
      </c>
      <c r="H22" s="10">
        <f>IF(Comparador_EV!$J$12="","",Comparador_EV!$J$12/12)</f>
        <v>64.166666666666671</v>
      </c>
      <c r="I22" s="10">
        <f>IF(Comparador_EV!$J$9="","",Comparador_EV!$J$9/12)</f>
        <v>466.66666666666669</v>
      </c>
      <c r="J22" s="10">
        <f>IF(OR(Comparador_EV!$J$10="",Comparador_EV!$J$11=""),"",(Comparador_EV!$J$10+Comparador_EV!$J$11)/12)</f>
        <v>381.17333333333335</v>
      </c>
      <c r="K22" s="10">
        <f t="shared" si="4"/>
        <v>1383.6426666666669</v>
      </c>
      <c r="L22" s="10">
        <f t="shared" si="5"/>
        <v>3835.1536177300131</v>
      </c>
      <c r="M22" s="10">
        <f>Dashboard!$H$12</f>
        <v>2304.5500000000002</v>
      </c>
      <c r="N22" s="10">
        <f t="shared" si="6"/>
        <v>1530.603617730013</v>
      </c>
      <c r="O22" s="10">
        <f>INDEX(Financiamento_EV!$O$17:$O$136,A22)</f>
        <v>65605.066895141965</v>
      </c>
      <c r="P22" s="10">
        <f t="shared" si="7"/>
        <v>18367.243412760152</v>
      </c>
      <c r="R22">
        <f t="shared" si="0"/>
        <v>13</v>
      </c>
      <c r="S22">
        <f t="shared" si="1"/>
        <v>3835.1536177300131</v>
      </c>
      <c r="T22">
        <f t="shared" si="2"/>
        <v>2304.5500000000002</v>
      </c>
      <c r="U22">
        <f t="shared" si="3"/>
        <v>1530.603617730013</v>
      </c>
    </row>
    <row r="23" spans="1:21">
      <c r="A23">
        <v>13</v>
      </c>
      <c r="B23" s="62">
        <f>INDEX(Financiamento_EV!$B$17:$B$136,A23)</f>
        <v>46631</v>
      </c>
      <c r="C23" s="10">
        <f>INDEX(Financiamento_EV!$G$17:$G$136,A23)</f>
        <v>2451.5109510633433</v>
      </c>
      <c r="D23" s="10">
        <f>INDEX(Financiamento_EV!$L$17:$L$136,A23)</f>
        <v>0</v>
      </c>
      <c r="E23" s="10">
        <f>INDEX(Financiamento_EV!$M$17:$M$136,A23)</f>
        <v>2.7284841053187847E-12</v>
      </c>
      <c r="F23" s="10">
        <f>INDEX(Financiamento_EV!$N$17:$N$136,A23)</f>
        <v>2451.5109510633461</v>
      </c>
      <c r="G23" s="10">
        <f>IF(Comparador_EV!$J$8="","",Comparador_EV!$J$8/12)</f>
        <v>471.63600000000002</v>
      </c>
      <c r="H23" s="10">
        <f>IF(Comparador_EV!$J$12="","",Comparador_EV!$J$12/12)</f>
        <v>64.166666666666671</v>
      </c>
      <c r="I23" s="10">
        <f>IF(Comparador_EV!$J$9="","",Comparador_EV!$J$9/12)</f>
        <v>466.66666666666669</v>
      </c>
      <c r="J23" s="10">
        <f>IF(OR(Comparador_EV!$J$10="",Comparador_EV!$J$11=""),"",(Comparador_EV!$J$10+Comparador_EV!$J$11)/12)</f>
        <v>381.17333333333335</v>
      </c>
      <c r="K23" s="10">
        <f t="shared" si="4"/>
        <v>1383.6426666666669</v>
      </c>
      <c r="L23" s="10">
        <f t="shared" si="5"/>
        <v>3835.1536177300131</v>
      </c>
      <c r="M23" s="10">
        <f>Dashboard!$H$12</f>
        <v>2304.5500000000002</v>
      </c>
      <c r="N23" s="10">
        <f t="shared" si="6"/>
        <v>1530.603617730013</v>
      </c>
      <c r="O23" s="10">
        <f>INDEX(Financiamento_EV!$O$17:$O$136,A23)</f>
        <v>64268.842081296032</v>
      </c>
      <c r="P23" s="10">
        <f t="shared" si="7"/>
        <v>19897.847030490164</v>
      </c>
      <c r="R23">
        <f t="shared" si="0"/>
        <v>14</v>
      </c>
      <c r="S23">
        <f t="shared" si="1"/>
        <v>3835.1536177300131</v>
      </c>
      <c r="T23">
        <f t="shared" si="2"/>
        <v>2304.5500000000002</v>
      </c>
      <c r="U23">
        <f t="shared" si="3"/>
        <v>1530.603617730013</v>
      </c>
    </row>
    <row r="24" spans="1:21">
      <c r="A24">
        <v>14</v>
      </c>
      <c r="B24" s="62">
        <f>INDEX(Financiamento_EV!$B$17:$B$136,A24)</f>
        <v>46661</v>
      </c>
      <c r="C24" s="10">
        <f>INDEX(Financiamento_EV!$G$17:$G$136,A24)</f>
        <v>2451.5109510633442</v>
      </c>
      <c r="D24" s="10">
        <f>INDEX(Financiamento_EV!$L$17:$L$136,A24)</f>
        <v>0</v>
      </c>
      <c r="E24" s="10">
        <f>INDEX(Financiamento_EV!$M$17:$M$136,A24)</f>
        <v>1.8189894035458565E-12</v>
      </c>
      <c r="F24" s="10">
        <f>INDEX(Financiamento_EV!$N$17:$N$136,A24)</f>
        <v>2451.5109510633461</v>
      </c>
      <c r="G24" s="10">
        <f>IF(Comparador_EV!$J$8="","",Comparador_EV!$J$8/12)</f>
        <v>471.63600000000002</v>
      </c>
      <c r="H24" s="10">
        <f>IF(Comparador_EV!$J$12="","",Comparador_EV!$J$12/12)</f>
        <v>64.166666666666671</v>
      </c>
      <c r="I24" s="10">
        <f>IF(Comparador_EV!$J$9="","",Comparador_EV!$J$9/12)</f>
        <v>466.66666666666669</v>
      </c>
      <c r="J24" s="10">
        <f>IF(OR(Comparador_EV!$J$10="",Comparador_EV!$J$11=""),"",(Comparador_EV!$J$10+Comparador_EV!$J$11)/12)</f>
        <v>381.17333333333335</v>
      </c>
      <c r="K24" s="10">
        <f t="shared" si="4"/>
        <v>1383.6426666666669</v>
      </c>
      <c r="L24" s="10">
        <f t="shared" si="5"/>
        <v>3835.1536177300131</v>
      </c>
      <c r="M24" s="10">
        <f>Dashboard!$H$12</f>
        <v>2304.5500000000002</v>
      </c>
      <c r="N24" s="10">
        <f t="shared" si="6"/>
        <v>1530.603617730013</v>
      </c>
      <c r="O24" s="10">
        <f>INDEX(Financiamento_EV!$O$17:$O$136,A24)</f>
        <v>62909.90144561472</v>
      </c>
      <c r="P24" s="10">
        <f t="shared" si="7"/>
        <v>21428.450648220176</v>
      </c>
      <c r="R24">
        <f t="shared" si="0"/>
        <v>15</v>
      </c>
      <c r="S24">
        <f t="shared" si="1"/>
        <v>3835.1536177300131</v>
      </c>
      <c r="T24">
        <f t="shared" si="2"/>
        <v>2304.5500000000002</v>
      </c>
      <c r="U24">
        <f t="shared" si="3"/>
        <v>1530.603617730013</v>
      </c>
    </row>
    <row r="25" spans="1:21">
      <c r="A25">
        <v>15</v>
      </c>
      <c r="B25" s="62">
        <f>INDEX(Financiamento_EV!$B$17:$B$136,A25)</f>
        <v>46692</v>
      </c>
      <c r="C25" s="10">
        <f>INDEX(Financiamento_EV!$G$17:$G$136,A25)</f>
        <v>2451.5109510633433</v>
      </c>
      <c r="D25" s="10">
        <f>INDEX(Financiamento_EV!$L$17:$L$136,A25)</f>
        <v>0</v>
      </c>
      <c r="E25" s="10">
        <f>INDEX(Financiamento_EV!$M$17:$M$136,A25)</f>
        <v>2.7284841053187847E-12</v>
      </c>
      <c r="F25" s="10">
        <f>INDEX(Financiamento_EV!$N$17:$N$136,A25)</f>
        <v>2451.5109510633461</v>
      </c>
      <c r="G25" s="10">
        <f>IF(Comparador_EV!$J$8="","",Comparador_EV!$J$8/12)</f>
        <v>471.63600000000002</v>
      </c>
      <c r="H25" s="10">
        <f>IF(Comparador_EV!$J$12="","",Comparador_EV!$J$12/12)</f>
        <v>64.166666666666671</v>
      </c>
      <c r="I25" s="10">
        <f>IF(Comparador_EV!$J$9="","",Comparador_EV!$J$9/12)</f>
        <v>466.66666666666669</v>
      </c>
      <c r="J25" s="10">
        <f>IF(OR(Comparador_EV!$J$10="",Comparador_EV!$J$11=""),"",(Comparador_EV!$J$10+Comparador_EV!$J$11)/12)</f>
        <v>381.17333333333335</v>
      </c>
      <c r="K25" s="10">
        <f t="shared" si="4"/>
        <v>1383.6426666666669</v>
      </c>
      <c r="L25" s="10">
        <f t="shared" si="5"/>
        <v>3835.1536177300131</v>
      </c>
      <c r="M25" s="10">
        <f>Dashboard!$H$12</f>
        <v>2304.5500000000002</v>
      </c>
      <c r="N25" s="10">
        <f t="shared" si="6"/>
        <v>1530.603617730013</v>
      </c>
      <c r="O25" s="10">
        <f>INDEX(Financiamento_EV!$O$17:$O$136,A25)</f>
        <v>61527.858819126828</v>
      </c>
      <c r="P25" s="10">
        <f t="shared" si="7"/>
        <v>22959.054265950188</v>
      </c>
      <c r="R25">
        <f t="shared" si="0"/>
        <v>16</v>
      </c>
      <c r="S25">
        <f t="shared" si="1"/>
        <v>3835.1536177300131</v>
      </c>
      <c r="T25">
        <f t="shared" si="2"/>
        <v>2304.5500000000002</v>
      </c>
      <c r="U25">
        <f t="shared" si="3"/>
        <v>1530.603617730013</v>
      </c>
    </row>
    <row r="26" spans="1:21">
      <c r="A26">
        <v>16</v>
      </c>
      <c r="B26" s="62">
        <f>INDEX(Financiamento_EV!$B$17:$B$136,A26)</f>
        <v>46722</v>
      </c>
      <c r="C26" s="10">
        <f>INDEX(Financiamento_EV!$G$17:$G$136,A26)</f>
        <v>2451.5109510633429</v>
      </c>
      <c r="D26" s="10">
        <f>INDEX(Financiamento_EV!$L$17:$L$136,A26)</f>
        <v>0</v>
      </c>
      <c r="E26" s="10">
        <f>INDEX(Financiamento_EV!$M$17:$M$136,A26)</f>
        <v>3.1832314562052488E-12</v>
      </c>
      <c r="F26" s="10">
        <f>INDEX(Financiamento_EV!$N$17:$N$136,A26)</f>
        <v>2451.5109510633461</v>
      </c>
      <c r="G26" s="10">
        <f>IF(Comparador_EV!$J$8="","",Comparador_EV!$J$8/12)</f>
        <v>471.63600000000002</v>
      </c>
      <c r="H26" s="10">
        <f>IF(Comparador_EV!$J$12="","",Comparador_EV!$J$12/12)</f>
        <v>64.166666666666671</v>
      </c>
      <c r="I26" s="10">
        <f>IF(Comparador_EV!$J$9="","",Comparador_EV!$J$9/12)</f>
        <v>466.66666666666669</v>
      </c>
      <c r="J26" s="10">
        <f>IF(OR(Comparador_EV!$J$10="",Comparador_EV!$J$11=""),"",(Comparador_EV!$J$10+Comparador_EV!$J$11)/12)</f>
        <v>381.17333333333335</v>
      </c>
      <c r="K26" s="10">
        <f t="shared" si="4"/>
        <v>1383.6426666666669</v>
      </c>
      <c r="L26" s="10">
        <f t="shared" si="5"/>
        <v>3835.1536177300131</v>
      </c>
      <c r="M26" s="10">
        <f>Dashboard!$H$12</f>
        <v>2304.5500000000002</v>
      </c>
      <c r="N26" s="10">
        <f t="shared" si="6"/>
        <v>1530.603617730013</v>
      </c>
      <c r="O26" s="10">
        <f>INDEX(Financiamento_EV!$O$17:$O$136,A26)</f>
        <v>60122.321467988644</v>
      </c>
      <c r="P26" s="10">
        <f t="shared" si="7"/>
        <v>24489.6578836802</v>
      </c>
      <c r="R26">
        <f t="shared" si="0"/>
        <v>17</v>
      </c>
      <c r="S26">
        <f t="shared" si="1"/>
        <v>3835.1536177300131</v>
      </c>
      <c r="T26">
        <f t="shared" si="2"/>
        <v>2304.5500000000002</v>
      </c>
      <c r="U26">
        <f t="shared" si="3"/>
        <v>1530.603617730013</v>
      </c>
    </row>
    <row r="27" spans="1:21">
      <c r="A27">
        <v>17</v>
      </c>
      <c r="B27" s="62">
        <f>INDEX(Financiamento_EV!$B$17:$B$136,A27)</f>
        <v>46753</v>
      </c>
      <c r="C27" s="10">
        <f>INDEX(Financiamento_EV!$G$17:$G$136,A27)</f>
        <v>2451.5109510633424</v>
      </c>
      <c r="D27" s="10">
        <f>INDEX(Financiamento_EV!$L$17:$L$136,A27)</f>
        <v>0</v>
      </c>
      <c r="E27" s="10">
        <f>INDEX(Financiamento_EV!$M$17:$M$136,A27)</f>
        <v>3.637978807091713E-12</v>
      </c>
      <c r="F27" s="10">
        <f>INDEX(Financiamento_EV!$N$17:$N$136,A27)</f>
        <v>2451.5109510633461</v>
      </c>
      <c r="G27" s="10">
        <f>IF(Comparador_EV!$J$8="","",Comparador_EV!$J$8/12)</f>
        <v>471.63600000000002</v>
      </c>
      <c r="H27" s="10">
        <f>IF(Comparador_EV!$J$12="","",Comparador_EV!$J$12/12)</f>
        <v>64.166666666666671</v>
      </c>
      <c r="I27" s="10">
        <f>IF(Comparador_EV!$J$9="","",Comparador_EV!$J$9/12)</f>
        <v>466.66666666666669</v>
      </c>
      <c r="J27" s="10">
        <f>IF(OR(Comparador_EV!$J$10="",Comparador_EV!$J$11=""),"",(Comparador_EV!$J$10+Comparador_EV!$J$11)/12)</f>
        <v>381.17333333333335</v>
      </c>
      <c r="K27" s="10">
        <f t="shared" si="4"/>
        <v>1383.6426666666669</v>
      </c>
      <c r="L27" s="10">
        <f t="shared" si="5"/>
        <v>3835.1536177300131</v>
      </c>
      <c r="M27" s="10">
        <f>Dashboard!$H$12</f>
        <v>2304.5500000000002</v>
      </c>
      <c r="N27" s="10">
        <f t="shared" si="6"/>
        <v>1530.603617730013</v>
      </c>
      <c r="O27" s="10">
        <f>INDEX(Financiamento_EV!$O$17:$O$136,A27)</f>
        <v>58692.889981881104</v>
      </c>
      <c r="P27" s="10">
        <f t="shared" si="7"/>
        <v>26020.261501410212</v>
      </c>
      <c r="R27">
        <f t="shared" si="0"/>
        <v>18</v>
      </c>
      <c r="S27">
        <f t="shared" si="1"/>
        <v>3835.1536177300131</v>
      </c>
      <c r="T27">
        <f t="shared" si="2"/>
        <v>2304.5500000000002</v>
      </c>
      <c r="U27">
        <f t="shared" si="3"/>
        <v>1530.603617730013</v>
      </c>
    </row>
    <row r="28" spans="1:21">
      <c r="A28">
        <v>18</v>
      </c>
      <c r="B28" s="62">
        <f>INDEX(Financiamento_EV!$B$17:$B$136,A28)</f>
        <v>46784</v>
      </c>
      <c r="C28" s="10">
        <f>INDEX(Financiamento_EV!$G$17:$G$136,A28)</f>
        <v>2451.5109510633424</v>
      </c>
      <c r="D28" s="10">
        <f>INDEX(Financiamento_EV!$L$17:$L$136,A28)</f>
        <v>0</v>
      </c>
      <c r="E28" s="10">
        <f>INDEX(Financiamento_EV!$M$17:$M$136,A28)</f>
        <v>3.637978807091713E-12</v>
      </c>
      <c r="F28" s="10">
        <f>INDEX(Financiamento_EV!$N$17:$N$136,A28)</f>
        <v>2451.5109510633461</v>
      </c>
      <c r="G28" s="10">
        <f>IF(Comparador_EV!$J$8="","",Comparador_EV!$J$8/12)</f>
        <v>471.63600000000002</v>
      </c>
      <c r="H28" s="10">
        <f>IF(Comparador_EV!$J$12="","",Comparador_EV!$J$12/12)</f>
        <v>64.166666666666671</v>
      </c>
      <c r="I28" s="10">
        <f>IF(Comparador_EV!$J$9="","",Comparador_EV!$J$9/12)</f>
        <v>466.66666666666669</v>
      </c>
      <c r="J28" s="10">
        <f>IF(OR(Comparador_EV!$J$10="",Comparador_EV!$J$11=""),"",(Comparador_EV!$J$10+Comparador_EV!$J$11)/12)</f>
        <v>381.17333333333335</v>
      </c>
      <c r="K28" s="10">
        <f t="shared" si="4"/>
        <v>1383.6426666666669</v>
      </c>
      <c r="L28" s="10">
        <f t="shared" si="5"/>
        <v>3835.1536177300131</v>
      </c>
      <c r="M28" s="10">
        <f>Dashboard!$H$12</f>
        <v>2304.5500000000002</v>
      </c>
      <c r="N28" s="10">
        <f t="shared" si="6"/>
        <v>1530.603617730013</v>
      </c>
      <c r="O28" s="10">
        <f>INDEX(Financiamento_EV!$O$17:$O$136,A28)</f>
        <v>57239.158160509731</v>
      </c>
      <c r="P28" s="10">
        <f t="shared" si="7"/>
        <v>27550.865119140224</v>
      </c>
      <c r="R28">
        <f t="shared" si="0"/>
        <v>19</v>
      </c>
      <c r="S28">
        <f t="shared" si="1"/>
        <v>3835.1536177300131</v>
      </c>
      <c r="T28">
        <f t="shared" si="2"/>
        <v>2304.5500000000002</v>
      </c>
      <c r="U28">
        <f t="shared" si="3"/>
        <v>1530.603617730013</v>
      </c>
    </row>
    <row r="29" spans="1:21">
      <c r="A29">
        <v>19</v>
      </c>
      <c r="B29" s="62">
        <f>INDEX(Financiamento_EV!$B$17:$B$136,A29)</f>
        <v>46813</v>
      </c>
      <c r="C29" s="10">
        <f>INDEX(Financiamento_EV!$G$17:$G$136,A29)</f>
        <v>2451.5109510633415</v>
      </c>
      <c r="D29" s="10">
        <f>INDEX(Financiamento_EV!$L$17:$L$136,A29)</f>
        <v>0</v>
      </c>
      <c r="E29" s="10">
        <f>INDEX(Financiamento_EV!$M$17:$M$136,A29)</f>
        <v>4.5474735088646412E-12</v>
      </c>
      <c r="F29" s="10">
        <f>INDEX(Financiamento_EV!$N$17:$N$136,A29)</f>
        <v>2451.5109510633461</v>
      </c>
      <c r="G29" s="10">
        <f>IF(Comparador_EV!$J$8="","",Comparador_EV!$J$8/12)</f>
        <v>471.63600000000002</v>
      </c>
      <c r="H29" s="10">
        <f>IF(Comparador_EV!$J$12="","",Comparador_EV!$J$12/12)</f>
        <v>64.166666666666671</v>
      </c>
      <c r="I29" s="10">
        <f>IF(Comparador_EV!$J$9="","",Comparador_EV!$J$9/12)</f>
        <v>466.66666666666669</v>
      </c>
      <c r="J29" s="10">
        <f>IF(OR(Comparador_EV!$J$10="",Comparador_EV!$J$11=""),"",(Comparador_EV!$J$10+Comparador_EV!$J$11)/12)</f>
        <v>381.17333333333335</v>
      </c>
      <c r="K29" s="10">
        <f t="shared" si="4"/>
        <v>1383.6426666666669</v>
      </c>
      <c r="L29" s="10">
        <f t="shared" si="5"/>
        <v>3835.1536177300131</v>
      </c>
      <c r="M29" s="10">
        <f>Dashboard!$H$12</f>
        <v>2304.5500000000002</v>
      </c>
      <c r="N29" s="10">
        <f t="shared" si="6"/>
        <v>1530.603617730013</v>
      </c>
      <c r="O29" s="10">
        <f>INDEX(Financiamento_EV!$O$17:$O$136,A29)</f>
        <v>55760.71289817505</v>
      </c>
      <c r="P29" s="10">
        <f t="shared" si="7"/>
        <v>29081.468736870236</v>
      </c>
      <c r="R29">
        <f t="shared" si="0"/>
        <v>20</v>
      </c>
      <c r="S29">
        <f t="shared" si="1"/>
        <v>3835.1536177300131</v>
      </c>
      <c r="T29">
        <f t="shared" si="2"/>
        <v>2304.5500000000002</v>
      </c>
      <c r="U29">
        <f t="shared" si="3"/>
        <v>1530.603617730013</v>
      </c>
    </row>
    <row r="30" spans="1:21">
      <c r="A30">
        <v>20</v>
      </c>
      <c r="B30" s="62">
        <f>INDEX(Financiamento_EV!$B$17:$B$136,A30)</f>
        <v>46844</v>
      </c>
      <c r="C30" s="10">
        <f>INDEX(Financiamento_EV!$G$17:$G$136,A30)</f>
        <v>2451.5109510633415</v>
      </c>
      <c r="D30" s="10">
        <f>INDEX(Financiamento_EV!$L$17:$L$136,A30)</f>
        <v>0</v>
      </c>
      <c r="E30" s="10">
        <f>INDEX(Financiamento_EV!$M$17:$M$136,A30)</f>
        <v>4.5474735088646412E-12</v>
      </c>
      <c r="F30" s="10">
        <f>INDEX(Financiamento_EV!$N$17:$N$136,A30)</f>
        <v>2451.5109510633461</v>
      </c>
      <c r="G30" s="10">
        <f>IF(Comparador_EV!$J$8="","",Comparador_EV!$J$8/12)</f>
        <v>471.63600000000002</v>
      </c>
      <c r="H30" s="10">
        <f>IF(Comparador_EV!$J$12="","",Comparador_EV!$J$12/12)</f>
        <v>64.166666666666671</v>
      </c>
      <c r="I30" s="10">
        <f>IF(Comparador_EV!$J$9="","",Comparador_EV!$J$9/12)</f>
        <v>466.66666666666669</v>
      </c>
      <c r="J30" s="10">
        <f>IF(OR(Comparador_EV!$J$10="",Comparador_EV!$J$11=""),"",(Comparador_EV!$J$10+Comparador_EV!$J$11)/12)</f>
        <v>381.17333333333335</v>
      </c>
      <c r="K30" s="10">
        <f t="shared" si="4"/>
        <v>1383.6426666666669</v>
      </c>
      <c r="L30" s="10">
        <f t="shared" si="5"/>
        <v>3835.1536177300131</v>
      </c>
      <c r="M30" s="10">
        <f>Dashboard!$H$12</f>
        <v>2304.5500000000002</v>
      </c>
      <c r="N30" s="10">
        <f t="shared" si="6"/>
        <v>1530.603617730013</v>
      </c>
      <c r="O30" s="10">
        <f>INDEX(Financiamento_EV!$O$17:$O$136,A30)</f>
        <v>54257.134066380677</v>
      </c>
      <c r="P30" s="10">
        <f t="shared" si="7"/>
        <v>30612.072354600248</v>
      </c>
      <c r="R30">
        <f t="shared" si="0"/>
        <v>21</v>
      </c>
      <c r="S30">
        <f t="shared" si="1"/>
        <v>3835.1536177300131</v>
      </c>
      <c r="T30">
        <f t="shared" si="2"/>
        <v>2304.5500000000002</v>
      </c>
      <c r="U30">
        <f t="shared" si="3"/>
        <v>1530.603617730013</v>
      </c>
    </row>
    <row r="31" spans="1:21">
      <c r="A31">
        <v>21</v>
      </c>
      <c r="B31" s="62">
        <f>INDEX(Financiamento_EV!$B$17:$B$136,A31)</f>
        <v>46874</v>
      </c>
      <c r="C31" s="10">
        <f>INDEX(Financiamento_EV!$G$17:$G$136,A31)</f>
        <v>2451.5109510633406</v>
      </c>
      <c r="D31" s="10">
        <f>INDEX(Financiamento_EV!$L$17:$L$136,A31)</f>
        <v>0</v>
      </c>
      <c r="E31" s="10">
        <f>INDEX(Financiamento_EV!$M$17:$M$136,A31)</f>
        <v>5.4569682106375694E-12</v>
      </c>
      <c r="F31" s="10">
        <f>INDEX(Financiamento_EV!$N$17:$N$136,A31)</f>
        <v>2451.5109510633461</v>
      </c>
      <c r="G31" s="10">
        <f>IF(Comparador_EV!$J$8="","",Comparador_EV!$J$8/12)</f>
        <v>471.63600000000002</v>
      </c>
      <c r="H31" s="10">
        <f>IF(Comparador_EV!$J$12="","",Comparador_EV!$J$12/12)</f>
        <v>64.166666666666671</v>
      </c>
      <c r="I31" s="10">
        <f>IF(Comparador_EV!$J$9="","",Comparador_EV!$J$9/12)</f>
        <v>466.66666666666669</v>
      </c>
      <c r="J31" s="10">
        <f>IF(OR(Comparador_EV!$J$10="",Comparador_EV!$J$11=""),"",(Comparador_EV!$J$10+Comparador_EV!$J$11)/12)</f>
        <v>381.17333333333335</v>
      </c>
      <c r="K31" s="10">
        <f t="shared" si="4"/>
        <v>1383.6426666666669</v>
      </c>
      <c r="L31" s="10">
        <f t="shared" si="5"/>
        <v>3835.1536177300131</v>
      </c>
      <c r="M31" s="10">
        <f>Dashboard!$H$12</f>
        <v>2304.5500000000002</v>
      </c>
      <c r="N31" s="10">
        <f t="shared" si="6"/>
        <v>1530.603617730013</v>
      </c>
      <c r="O31" s="10">
        <f>INDEX(Financiamento_EV!$O$17:$O$136,A31)</f>
        <v>52727.994394445799</v>
      </c>
      <c r="P31" s="10">
        <f t="shared" si="7"/>
        <v>32142.67597233026</v>
      </c>
      <c r="R31">
        <f t="shared" si="0"/>
        <v>22</v>
      </c>
      <c r="S31">
        <f t="shared" si="1"/>
        <v>3835.1536177300131</v>
      </c>
      <c r="T31">
        <f t="shared" si="2"/>
        <v>2304.5500000000002</v>
      </c>
      <c r="U31">
        <f t="shared" si="3"/>
        <v>1530.603617730013</v>
      </c>
    </row>
    <row r="32" spans="1:21">
      <c r="A32">
        <v>22</v>
      </c>
      <c r="B32" s="62">
        <f>INDEX(Financiamento_EV!$B$17:$B$136,A32)</f>
        <v>46905</v>
      </c>
      <c r="C32" s="10">
        <f>INDEX(Financiamento_EV!$G$17:$G$136,A32)</f>
        <v>2451.5109510633401</v>
      </c>
      <c r="D32" s="10">
        <f>INDEX(Financiamento_EV!$L$17:$L$136,A32)</f>
        <v>0</v>
      </c>
      <c r="E32" s="10">
        <f>INDEX(Financiamento_EV!$M$17:$M$136,A32)</f>
        <v>5.9117155615240335E-12</v>
      </c>
      <c r="F32" s="10">
        <f>INDEX(Financiamento_EV!$N$17:$N$136,A32)</f>
        <v>2451.5109510633461</v>
      </c>
      <c r="G32" s="10">
        <f>IF(Comparador_EV!$J$8="","",Comparador_EV!$J$8/12)</f>
        <v>471.63600000000002</v>
      </c>
      <c r="H32" s="10">
        <f>IF(Comparador_EV!$J$12="","",Comparador_EV!$J$12/12)</f>
        <v>64.166666666666671</v>
      </c>
      <c r="I32" s="10">
        <f>IF(Comparador_EV!$J$9="","",Comparador_EV!$J$9/12)</f>
        <v>466.66666666666669</v>
      </c>
      <c r="J32" s="10">
        <f>IF(OR(Comparador_EV!$J$10="",Comparador_EV!$J$11=""),"",(Comparador_EV!$J$10+Comparador_EV!$J$11)/12)</f>
        <v>381.17333333333335</v>
      </c>
      <c r="K32" s="10">
        <f t="shared" si="4"/>
        <v>1383.6426666666669</v>
      </c>
      <c r="L32" s="10">
        <f t="shared" si="5"/>
        <v>3835.1536177300131</v>
      </c>
      <c r="M32" s="10">
        <f>Dashboard!$H$12</f>
        <v>2304.5500000000002</v>
      </c>
      <c r="N32" s="10">
        <f t="shared" si="6"/>
        <v>1530.603617730013</v>
      </c>
      <c r="O32" s="10">
        <f>INDEX(Financiamento_EV!$O$17:$O$136,A32)</f>
        <v>51172.85934808803</v>
      </c>
      <c r="P32" s="10">
        <f t="shared" si="7"/>
        <v>33673.279590060272</v>
      </c>
      <c r="R32">
        <f t="shared" si="0"/>
        <v>23</v>
      </c>
      <c r="S32">
        <f t="shared" si="1"/>
        <v>3835.1536177300131</v>
      </c>
      <c r="T32">
        <f t="shared" si="2"/>
        <v>2304.5500000000002</v>
      </c>
      <c r="U32">
        <f t="shared" si="3"/>
        <v>1530.603617730013</v>
      </c>
    </row>
    <row r="33" spans="1:21">
      <c r="A33">
        <v>23</v>
      </c>
      <c r="B33" s="62">
        <f>INDEX(Financiamento_EV!$B$17:$B$136,A33)</f>
        <v>46935</v>
      </c>
      <c r="C33" s="10">
        <f>INDEX(Financiamento_EV!$G$17:$G$136,A33)</f>
        <v>2451.5109510633388</v>
      </c>
      <c r="D33" s="10">
        <f>INDEX(Financiamento_EV!$L$17:$L$136,A33)</f>
        <v>0</v>
      </c>
      <c r="E33" s="10">
        <f>INDEX(Financiamento_EV!$M$17:$M$136,A33)</f>
        <v>7.2759576141834259E-12</v>
      </c>
      <c r="F33" s="10">
        <f>INDEX(Financiamento_EV!$N$17:$N$136,A33)</f>
        <v>2451.5109510633461</v>
      </c>
      <c r="G33" s="10">
        <f>IF(Comparador_EV!$J$8="","",Comparador_EV!$J$8/12)</f>
        <v>471.63600000000002</v>
      </c>
      <c r="H33" s="10">
        <f>IF(Comparador_EV!$J$12="","",Comparador_EV!$J$12/12)</f>
        <v>64.166666666666671</v>
      </c>
      <c r="I33" s="10">
        <f>IF(Comparador_EV!$J$9="","",Comparador_EV!$J$9/12)</f>
        <v>466.66666666666669</v>
      </c>
      <c r="J33" s="10">
        <f>IF(OR(Comparador_EV!$J$10="",Comparador_EV!$J$11=""),"",(Comparador_EV!$J$10+Comparador_EV!$J$11)/12)</f>
        <v>381.17333333333335</v>
      </c>
      <c r="K33" s="10">
        <f t="shared" si="4"/>
        <v>1383.6426666666669</v>
      </c>
      <c r="L33" s="10">
        <f t="shared" si="5"/>
        <v>3835.1536177300131</v>
      </c>
      <c r="M33" s="10">
        <f>Dashboard!$H$12</f>
        <v>2304.5500000000002</v>
      </c>
      <c r="N33" s="10">
        <f t="shared" si="6"/>
        <v>1530.603617730013</v>
      </c>
      <c r="O33" s="10">
        <f>INDEX(Financiamento_EV!$O$17:$O$136,A33)</f>
        <v>49591.287005942184</v>
      </c>
      <c r="P33" s="10">
        <f t="shared" si="7"/>
        <v>35203.883207790284</v>
      </c>
      <c r="R33">
        <f t="shared" si="0"/>
        <v>24</v>
      </c>
      <c r="S33">
        <f t="shared" si="1"/>
        <v>3835.1536177300131</v>
      </c>
      <c r="T33">
        <f t="shared" si="2"/>
        <v>2304.5500000000002</v>
      </c>
      <c r="U33">
        <f t="shared" si="3"/>
        <v>1530.603617730013</v>
      </c>
    </row>
    <row r="34" spans="1:21">
      <c r="A34">
        <v>24</v>
      </c>
      <c r="B34" s="62">
        <f>INDEX(Financiamento_EV!$B$17:$B$136,A34)</f>
        <v>46966</v>
      </c>
      <c r="C34" s="10">
        <f>INDEX(Financiamento_EV!$G$17:$G$136,A34)</f>
        <v>2451.5109510633374</v>
      </c>
      <c r="D34" s="10">
        <f>INDEX(Financiamento_EV!$L$17:$L$136,A34)</f>
        <v>0</v>
      </c>
      <c r="E34" s="10">
        <f>INDEX(Financiamento_EV!$M$17:$M$136,A34)</f>
        <v>8.6401996668428183E-12</v>
      </c>
      <c r="F34" s="10">
        <f>INDEX(Financiamento_EV!$N$17:$N$136,A34)</f>
        <v>2451.5109510633461</v>
      </c>
      <c r="G34" s="10">
        <f>IF(Comparador_EV!$J$8="","",Comparador_EV!$J$8/12)</f>
        <v>471.63600000000002</v>
      </c>
      <c r="H34" s="10">
        <f>IF(Comparador_EV!$J$12="","",Comparador_EV!$J$12/12)</f>
        <v>64.166666666666671</v>
      </c>
      <c r="I34" s="10">
        <f>IF(Comparador_EV!$J$9="","",Comparador_EV!$J$9/12)</f>
        <v>466.66666666666669</v>
      </c>
      <c r="J34" s="10">
        <f>IF(OR(Comparador_EV!$J$10="",Comparador_EV!$J$11=""),"",(Comparador_EV!$J$10+Comparador_EV!$J$11)/12)</f>
        <v>381.17333333333335</v>
      </c>
      <c r="K34" s="10">
        <f t="shared" si="4"/>
        <v>1383.6426666666669</v>
      </c>
      <c r="L34" s="10">
        <f t="shared" si="5"/>
        <v>3835.1536177300131</v>
      </c>
      <c r="M34" s="10">
        <f>Dashboard!$H$12</f>
        <v>2304.5500000000002</v>
      </c>
      <c r="N34" s="10">
        <f t="shared" si="6"/>
        <v>1530.603617730013</v>
      </c>
      <c r="O34" s="10">
        <f>INDEX(Financiamento_EV!$O$17:$O$136,A34)</f>
        <v>47982.827933979854</v>
      </c>
      <c r="P34" s="10">
        <f t="shared" si="7"/>
        <v>36734.486825520296</v>
      </c>
      <c r="R34">
        <f t="shared" si="0"/>
        <v>25</v>
      </c>
      <c r="S34">
        <f t="shared" si="1"/>
        <v>3835.1536177300131</v>
      </c>
      <c r="T34">
        <f t="shared" si="2"/>
        <v>2304.5500000000002</v>
      </c>
      <c r="U34">
        <f t="shared" si="3"/>
        <v>1530.603617730013</v>
      </c>
    </row>
    <row r="35" spans="1:21">
      <c r="A35">
        <v>25</v>
      </c>
      <c r="B35" s="62">
        <f>INDEX(Financiamento_EV!$B$17:$B$136,A35)</f>
        <v>46997</v>
      </c>
      <c r="C35" s="10">
        <f>INDEX(Financiamento_EV!$G$17:$G$136,A35)</f>
        <v>2451.510951063337</v>
      </c>
      <c r="D35" s="10">
        <f>INDEX(Financiamento_EV!$L$17:$L$136,A35)</f>
        <v>0</v>
      </c>
      <c r="E35" s="10">
        <f>INDEX(Financiamento_EV!$M$17:$M$136,A35)</f>
        <v>9.0949470177292824E-12</v>
      </c>
      <c r="F35" s="10">
        <f>INDEX(Financiamento_EV!$N$17:$N$136,A35)</f>
        <v>2451.5109510633461</v>
      </c>
      <c r="G35" s="10">
        <f>IF(Comparador_EV!$J$8="","",Comparador_EV!$J$8/12)</f>
        <v>471.63600000000002</v>
      </c>
      <c r="H35" s="10">
        <f>IF(Comparador_EV!$J$12="","",Comparador_EV!$J$12/12)</f>
        <v>64.166666666666671</v>
      </c>
      <c r="I35" s="10">
        <f>IF(Comparador_EV!$J$9="","",Comparador_EV!$J$9/12)</f>
        <v>466.66666666666669</v>
      </c>
      <c r="J35" s="10">
        <f>IF(OR(Comparador_EV!$J$10="",Comparador_EV!$J$11=""),"",(Comparador_EV!$J$10+Comparador_EV!$J$11)/12)</f>
        <v>381.17333333333335</v>
      </c>
      <c r="K35" s="10">
        <f t="shared" si="4"/>
        <v>1383.6426666666669</v>
      </c>
      <c r="L35" s="10">
        <f t="shared" si="5"/>
        <v>3835.1536177300131</v>
      </c>
      <c r="M35" s="10">
        <f>Dashboard!$H$12</f>
        <v>2304.5500000000002</v>
      </c>
      <c r="N35" s="10">
        <f t="shared" si="6"/>
        <v>1530.603617730013</v>
      </c>
      <c r="O35" s="10">
        <f>INDEX(Financiamento_EV!$O$17:$O$136,A35)</f>
        <v>46347.02505779417</v>
      </c>
      <c r="P35" s="10">
        <f t="shared" si="7"/>
        <v>38265.090443250308</v>
      </c>
      <c r="R35">
        <f t="shared" si="0"/>
        <v>26</v>
      </c>
      <c r="S35">
        <f t="shared" si="1"/>
        <v>3835.1536177300131</v>
      </c>
      <c r="T35">
        <f t="shared" si="2"/>
        <v>2304.5500000000002</v>
      </c>
      <c r="U35">
        <f t="shared" si="3"/>
        <v>1530.603617730013</v>
      </c>
    </row>
    <row r="36" spans="1:21">
      <c r="A36">
        <v>26</v>
      </c>
      <c r="B36" s="62">
        <f>INDEX(Financiamento_EV!$B$17:$B$136,A36)</f>
        <v>47027</v>
      </c>
      <c r="C36" s="10">
        <f>INDEX(Financiamento_EV!$G$17:$G$136,A36)</f>
        <v>2451.510951063337</v>
      </c>
      <c r="D36" s="10">
        <f>INDEX(Financiamento_EV!$L$17:$L$136,A36)</f>
        <v>0</v>
      </c>
      <c r="E36" s="10">
        <f>INDEX(Financiamento_EV!$M$17:$M$136,A36)</f>
        <v>9.0949470177292824E-12</v>
      </c>
      <c r="F36" s="10">
        <f>INDEX(Financiamento_EV!$N$17:$N$136,A36)</f>
        <v>2451.5109510633461</v>
      </c>
      <c r="G36" s="10">
        <f>IF(Comparador_EV!$J$8="","",Comparador_EV!$J$8/12)</f>
        <v>471.63600000000002</v>
      </c>
      <c r="H36" s="10">
        <f>IF(Comparador_EV!$J$12="","",Comparador_EV!$J$12/12)</f>
        <v>64.166666666666671</v>
      </c>
      <c r="I36" s="10">
        <f>IF(Comparador_EV!$J$9="","",Comparador_EV!$J$9/12)</f>
        <v>466.66666666666669</v>
      </c>
      <c r="J36" s="10">
        <f>IF(OR(Comparador_EV!$J$10="",Comparador_EV!$J$11=""),"",(Comparador_EV!$J$10+Comparador_EV!$J$11)/12)</f>
        <v>381.17333333333335</v>
      </c>
      <c r="K36" s="10">
        <f t="shared" si="4"/>
        <v>1383.6426666666669</v>
      </c>
      <c r="L36" s="10">
        <f t="shared" si="5"/>
        <v>3835.1536177300131</v>
      </c>
      <c r="M36" s="10">
        <f>Dashboard!$H$12</f>
        <v>2304.5500000000002</v>
      </c>
      <c r="N36" s="10">
        <f t="shared" si="6"/>
        <v>1530.603617730013</v>
      </c>
      <c r="O36" s="10">
        <f>INDEX(Financiamento_EV!$O$17:$O$136,A36)</f>
        <v>44683.413532713326</v>
      </c>
      <c r="P36" s="10">
        <f t="shared" si="7"/>
        <v>39795.694060980321</v>
      </c>
      <c r="R36">
        <f t="shared" si="0"/>
        <v>27</v>
      </c>
      <c r="S36">
        <f t="shared" si="1"/>
        <v>3835.1536177300131</v>
      </c>
      <c r="T36">
        <f t="shared" si="2"/>
        <v>2304.5500000000002</v>
      </c>
      <c r="U36">
        <f t="shared" si="3"/>
        <v>1530.603617730013</v>
      </c>
    </row>
    <row r="37" spans="1:21">
      <c r="A37">
        <v>27</v>
      </c>
      <c r="B37" s="62">
        <f>INDEX(Financiamento_EV!$B$17:$B$136,A37)</f>
        <v>47058</v>
      </c>
      <c r="C37" s="10">
        <f>INDEX(Financiamento_EV!$G$17:$G$136,A37)</f>
        <v>2451.5109510633351</v>
      </c>
      <c r="D37" s="10">
        <f>INDEX(Financiamento_EV!$L$17:$L$136,A37)</f>
        <v>0</v>
      </c>
      <c r="E37" s="10">
        <f>INDEX(Financiamento_EV!$M$17:$M$136,A37)</f>
        <v>1.0913936421275139E-11</v>
      </c>
      <c r="F37" s="10">
        <f>INDEX(Financiamento_EV!$N$17:$N$136,A37)</f>
        <v>2451.5109510633461</v>
      </c>
      <c r="G37" s="10">
        <f>IF(Comparador_EV!$J$8="","",Comparador_EV!$J$8/12)</f>
        <v>471.63600000000002</v>
      </c>
      <c r="H37" s="10">
        <f>IF(Comparador_EV!$J$12="","",Comparador_EV!$J$12/12)</f>
        <v>64.166666666666671</v>
      </c>
      <c r="I37" s="10">
        <f>IF(Comparador_EV!$J$9="","",Comparador_EV!$J$9/12)</f>
        <v>466.66666666666669</v>
      </c>
      <c r="J37" s="10">
        <f>IF(OR(Comparador_EV!$J$10="",Comparador_EV!$J$11=""),"",(Comparador_EV!$J$10+Comparador_EV!$J$11)/12)</f>
        <v>381.17333333333335</v>
      </c>
      <c r="K37" s="10">
        <f t="shared" si="4"/>
        <v>1383.6426666666669</v>
      </c>
      <c r="L37" s="10">
        <f t="shared" si="5"/>
        <v>3835.1536177300131</v>
      </c>
      <c r="M37" s="10">
        <f>Dashboard!$H$12</f>
        <v>2304.5500000000002</v>
      </c>
      <c r="N37" s="10">
        <f t="shared" si="6"/>
        <v>1530.603617730013</v>
      </c>
      <c r="O37" s="10">
        <f>INDEX(Financiamento_EV!$O$17:$O$136,A37)</f>
        <v>42991.520611706102</v>
      </c>
      <c r="P37" s="10">
        <f t="shared" si="7"/>
        <v>41326.297678710333</v>
      </c>
      <c r="R37">
        <f t="shared" si="0"/>
        <v>28</v>
      </c>
      <c r="S37">
        <f t="shared" si="1"/>
        <v>3835.1536177300131</v>
      </c>
      <c r="T37">
        <f t="shared" si="2"/>
        <v>2304.5500000000002</v>
      </c>
      <c r="U37">
        <f t="shared" si="3"/>
        <v>1530.603617730013</v>
      </c>
    </row>
    <row r="38" spans="1:21">
      <c r="A38">
        <v>28</v>
      </c>
      <c r="B38" s="62">
        <f>INDEX(Financiamento_EV!$B$17:$B$136,A38)</f>
        <v>47088</v>
      </c>
      <c r="C38" s="10">
        <f>INDEX(Financiamento_EV!$G$17:$G$136,A38)</f>
        <v>2451.5109510633338</v>
      </c>
      <c r="D38" s="10">
        <f>INDEX(Financiamento_EV!$L$17:$L$136,A38)</f>
        <v>0</v>
      </c>
      <c r="E38" s="10">
        <f>INDEX(Financiamento_EV!$M$17:$M$136,A38)</f>
        <v>1.2278178473934531E-11</v>
      </c>
      <c r="F38" s="10">
        <f>INDEX(Financiamento_EV!$N$17:$N$136,A38)</f>
        <v>2451.5109510633461</v>
      </c>
      <c r="G38" s="10">
        <f>IF(Comparador_EV!$J$8="","",Comparador_EV!$J$8/12)</f>
        <v>471.63600000000002</v>
      </c>
      <c r="H38" s="10">
        <f>IF(Comparador_EV!$J$12="","",Comparador_EV!$J$12/12)</f>
        <v>64.166666666666671</v>
      </c>
      <c r="I38" s="10">
        <f>IF(Comparador_EV!$J$9="","",Comparador_EV!$J$9/12)</f>
        <v>466.66666666666669</v>
      </c>
      <c r="J38" s="10">
        <f>IF(OR(Comparador_EV!$J$10="",Comparador_EV!$J$11=""),"",(Comparador_EV!$J$10+Comparador_EV!$J$11)/12)</f>
        <v>381.17333333333335</v>
      </c>
      <c r="K38" s="10">
        <f t="shared" si="4"/>
        <v>1383.6426666666669</v>
      </c>
      <c r="L38" s="10">
        <f t="shared" si="5"/>
        <v>3835.1536177300131</v>
      </c>
      <c r="M38" s="10">
        <f>Dashboard!$H$12</f>
        <v>2304.5500000000002</v>
      </c>
      <c r="N38" s="10">
        <f t="shared" si="6"/>
        <v>1530.603617730013</v>
      </c>
      <c r="O38" s="10">
        <f>INDEX(Financiamento_EV!$O$17:$O$136,A38)</f>
        <v>41270.86551104176</v>
      </c>
      <c r="P38" s="10">
        <f t="shared" si="7"/>
        <v>42856.901296440345</v>
      </c>
      <c r="R38">
        <f t="shared" si="0"/>
        <v>29</v>
      </c>
      <c r="S38">
        <f t="shared" si="1"/>
        <v>3835.1536177300131</v>
      </c>
      <c r="T38">
        <f t="shared" si="2"/>
        <v>2304.5500000000002</v>
      </c>
      <c r="U38">
        <f t="shared" si="3"/>
        <v>1530.603617730013</v>
      </c>
    </row>
    <row r="39" spans="1:21">
      <c r="A39">
        <v>29</v>
      </c>
      <c r="B39" s="62">
        <f>INDEX(Financiamento_EV!$B$17:$B$136,A39)</f>
        <v>47119</v>
      </c>
      <c r="C39" s="10">
        <f>INDEX(Financiamento_EV!$G$17:$G$136,A39)</f>
        <v>2451.5109510633333</v>
      </c>
      <c r="D39" s="10">
        <f>INDEX(Financiamento_EV!$L$17:$L$136,A39)</f>
        <v>0</v>
      </c>
      <c r="E39" s="10">
        <f>INDEX(Financiamento_EV!$M$17:$M$136,A39)</f>
        <v>1.2732925824820995E-11</v>
      </c>
      <c r="F39" s="10">
        <f>INDEX(Financiamento_EV!$N$17:$N$136,A39)</f>
        <v>2451.5109510633461</v>
      </c>
      <c r="G39" s="10">
        <f>IF(Comparador_EV!$J$8="","",Comparador_EV!$J$8/12)</f>
        <v>471.63600000000002</v>
      </c>
      <c r="H39" s="10">
        <f>IF(Comparador_EV!$J$12="","",Comparador_EV!$J$12/12)</f>
        <v>64.166666666666671</v>
      </c>
      <c r="I39" s="10">
        <f>IF(Comparador_EV!$J$9="","",Comparador_EV!$J$9/12)</f>
        <v>466.66666666666669</v>
      </c>
      <c r="J39" s="10">
        <f>IF(OR(Comparador_EV!$J$10="",Comparador_EV!$J$11=""),"",(Comparador_EV!$J$10+Comparador_EV!$J$11)/12)</f>
        <v>381.17333333333335</v>
      </c>
      <c r="K39" s="10">
        <f t="shared" si="4"/>
        <v>1383.6426666666669</v>
      </c>
      <c r="L39" s="10">
        <f t="shared" si="5"/>
        <v>3835.1536177300131</v>
      </c>
      <c r="M39" s="10">
        <f>Dashboard!$H$12</f>
        <v>2304.5500000000002</v>
      </c>
      <c r="N39" s="10">
        <f t="shared" si="6"/>
        <v>1530.603617730013</v>
      </c>
      <c r="O39" s="10">
        <f>INDEX(Financiamento_EV!$O$17:$O$136,A39)</f>
        <v>39520.959273666122</v>
      </c>
      <c r="P39" s="10">
        <f t="shared" si="7"/>
        <v>44387.504914170357</v>
      </c>
      <c r="R39">
        <f t="shared" si="0"/>
        <v>30</v>
      </c>
      <c r="S39">
        <f t="shared" si="1"/>
        <v>3835.1536177300131</v>
      </c>
      <c r="T39">
        <f t="shared" si="2"/>
        <v>2304.5500000000002</v>
      </c>
      <c r="U39">
        <f t="shared" si="3"/>
        <v>1530.603617730013</v>
      </c>
    </row>
    <row r="40" spans="1:21">
      <c r="A40">
        <v>30</v>
      </c>
      <c r="B40" s="62">
        <f>INDEX(Financiamento_EV!$B$17:$B$136,A40)</f>
        <v>47150</v>
      </c>
      <c r="C40" s="10">
        <f>INDEX(Financiamento_EV!$G$17:$G$136,A40)</f>
        <v>2451.5109510633315</v>
      </c>
      <c r="D40" s="10">
        <f>INDEX(Financiamento_EV!$L$17:$L$136,A40)</f>
        <v>0</v>
      </c>
      <c r="E40" s="10">
        <f>INDEX(Financiamento_EV!$M$17:$M$136,A40)</f>
        <v>1.4551915228366852E-11</v>
      </c>
      <c r="F40" s="10">
        <f>INDEX(Financiamento_EV!$N$17:$N$136,A40)</f>
        <v>2451.5109510633461</v>
      </c>
      <c r="G40" s="10">
        <f>IF(Comparador_EV!$J$8="","",Comparador_EV!$J$8/12)</f>
        <v>471.63600000000002</v>
      </c>
      <c r="H40" s="10">
        <f>IF(Comparador_EV!$J$12="","",Comparador_EV!$J$12/12)</f>
        <v>64.166666666666671</v>
      </c>
      <c r="I40" s="10">
        <f>IF(Comparador_EV!$J$9="","",Comparador_EV!$J$9/12)</f>
        <v>466.66666666666669</v>
      </c>
      <c r="J40" s="10">
        <f>IF(OR(Comparador_EV!$J$10="",Comparador_EV!$J$11=""),"",(Comparador_EV!$J$10+Comparador_EV!$J$11)/12)</f>
        <v>381.17333333333335</v>
      </c>
      <c r="K40" s="10">
        <f t="shared" si="4"/>
        <v>1383.6426666666669</v>
      </c>
      <c r="L40" s="10">
        <f t="shared" si="5"/>
        <v>3835.1536177300131</v>
      </c>
      <c r="M40" s="10">
        <f>Dashboard!$H$12</f>
        <v>2304.5500000000002</v>
      </c>
      <c r="N40" s="10">
        <f t="shared" si="6"/>
        <v>1530.603617730013</v>
      </c>
      <c r="O40" s="10">
        <f>INDEX(Financiamento_EV!$O$17:$O$136,A40)</f>
        <v>37741.304630255101</v>
      </c>
      <c r="P40" s="10">
        <f t="shared" si="7"/>
        <v>45918.108531900369</v>
      </c>
      <c r="R40">
        <f t="shared" si="0"/>
        <v>31</v>
      </c>
      <c r="S40">
        <f t="shared" si="1"/>
        <v>3835.1536177300131</v>
      </c>
      <c r="T40">
        <f t="shared" si="2"/>
        <v>2304.5500000000002</v>
      </c>
      <c r="U40">
        <f t="shared" si="3"/>
        <v>1530.603617730013</v>
      </c>
    </row>
    <row r="41" spans="1:21">
      <c r="A41">
        <v>31</v>
      </c>
      <c r="B41" s="62">
        <f>INDEX(Financiamento_EV!$B$17:$B$136,A41)</f>
        <v>47178</v>
      </c>
      <c r="C41" s="10">
        <f>INDEX(Financiamento_EV!$G$17:$G$136,A41)</f>
        <v>2451.5109510633301</v>
      </c>
      <c r="D41" s="10">
        <f>INDEX(Financiamento_EV!$L$17:$L$136,A41)</f>
        <v>0</v>
      </c>
      <c r="E41" s="10">
        <f>INDEX(Financiamento_EV!$M$17:$M$136,A41)</f>
        <v>1.5916157281026244E-11</v>
      </c>
      <c r="F41" s="10">
        <f>INDEX(Financiamento_EV!$N$17:$N$136,A41)</f>
        <v>2451.5109510633461</v>
      </c>
      <c r="G41" s="10">
        <f>IF(Comparador_EV!$J$8="","",Comparador_EV!$J$8/12)</f>
        <v>471.63600000000002</v>
      </c>
      <c r="H41" s="10">
        <f>IF(Comparador_EV!$J$12="","",Comparador_EV!$J$12/12)</f>
        <v>64.166666666666671</v>
      </c>
      <c r="I41" s="10">
        <f>IF(Comparador_EV!$J$9="","",Comparador_EV!$J$9/12)</f>
        <v>466.66666666666669</v>
      </c>
      <c r="J41" s="10">
        <f>IF(OR(Comparador_EV!$J$10="",Comparador_EV!$J$11=""),"",(Comparador_EV!$J$10+Comparador_EV!$J$11)/12)</f>
        <v>381.17333333333335</v>
      </c>
      <c r="K41" s="10">
        <f t="shared" si="4"/>
        <v>1383.6426666666669</v>
      </c>
      <c r="L41" s="10">
        <f t="shared" si="5"/>
        <v>3835.1536177300131</v>
      </c>
      <c r="M41" s="10">
        <f>Dashboard!$H$12</f>
        <v>2304.5500000000002</v>
      </c>
      <c r="N41" s="10">
        <f t="shared" si="6"/>
        <v>1530.603617730013</v>
      </c>
      <c r="O41" s="10">
        <f>INDEX(Financiamento_EV!$O$17:$O$136,A41)</f>
        <v>35931.395857906093</v>
      </c>
      <c r="P41" s="10">
        <f t="shared" si="7"/>
        <v>47448.712149630381</v>
      </c>
      <c r="R41">
        <f t="shared" si="0"/>
        <v>32</v>
      </c>
      <c r="S41">
        <f t="shared" si="1"/>
        <v>3835.1536177300131</v>
      </c>
      <c r="T41">
        <f t="shared" si="2"/>
        <v>2304.5500000000002</v>
      </c>
      <c r="U41">
        <f t="shared" si="3"/>
        <v>1530.603617730013</v>
      </c>
    </row>
    <row r="42" spans="1:21">
      <c r="A42">
        <v>32</v>
      </c>
      <c r="B42" s="62">
        <f>INDEX(Financiamento_EV!$B$17:$B$136,A42)</f>
        <v>47209</v>
      </c>
      <c r="C42" s="10">
        <f>INDEX(Financiamento_EV!$G$17:$G$136,A42)</f>
        <v>2451.5109510633283</v>
      </c>
      <c r="D42" s="10">
        <f>INDEX(Financiamento_EV!$L$17:$L$136,A42)</f>
        <v>0</v>
      </c>
      <c r="E42" s="10">
        <f>INDEX(Financiamento_EV!$M$17:$M$136,A42)</f>
        <v>1.7735146684572101E-11</v>
      </c>
      <c r="F42" s="10">
        <f>INDEX(Financiamento_EV!$N$17:$N$136,A42)</f>
        <v>2451.5109510633461</v>
      </c>
      <c r="G42" s="10">
        <f>IF(Comparador_EV!$J$8="","",Comparador_EV!$J$8/12)</f>
        <v>471.63600000000002</v>
      </c>
      <c r="H42" s="10">
        <f>IF(Comparador_EV!$J$12="","",Comparador_EV!$J$12/12)</f>
        <v>64.166666666666671</v>
      </c>
      <c r="I42" s="10">
        <f>IF(Comparador_EV!$J$9="","",Comparador_EV!$J$9/12)</f>
        <v>466.66666666666669</v>
      </c>
      <c r="J42" s="10">
        <f>IF(OR(Comparador_EV!$J$10="",Comparador_EV!$J$11=""),"",(Comparador_EV!$J$10+Comparador_EV!$J$11)/12)</f>
        <v>381.17333333333335</v>
      </c>
      <c r="K42" s="10">
        <f t="shared" si="4"/>
        <v>1383.6426666666669</v>
      </c>
      <c r="L42" s="10">
        <f t="shared" si="5"/>
        <v>3835.1536177300131</v>
      </c>
      <c r="M42" s="10">
        <f>Dashboard!$H$12</f>
        <v>2304.5500000000002</v>
      </c>
      <c r="N42" s="10">
        <f t="shared" si="6"/>
        <v>1530.603617730013</v>
      </c>
      <c r="O42" s="10">
        <f>INDEX(Financiamento_EV!$O$17:$O$136,A42)</f>
        <v>34090.718636427155</v>
      </c>
      <c r="P42" s="10">
        <f t="shared" si="7"/>
        <v>48979.315767360393</v>
      </c>
      <c r="R42">
        <f t="shared" ref="R42:R69" si="8">A43</f>
        <v>33</v>
      </c>
      <c r="S42">
        <f t="shared" ref="S42:S69" si="9">L43</f>
        <v>3835.1536177300131</v>
      </c>
      <c r="T42">
        <f t="shared" ref="T42:T69" si="10">M43</f>
        <v>2304.5500000000002</v>
      </c>
      <c r="U42">
        <f t="shared" ref="U42:U69" si="11">N43</f>
        <v>1530.603617730013</v>
      </c>
    </row>
    <row r="43" spans="1:21">
      <c r="A43">
        <v>33</v>
      </c>
      <c r="B43" s="62">
        <f>INDEX(Financiamento_EV!$B$17:$B$136,A43)</f>
        <v>47239</v>
      </c>
      <c r="C43" s="10">
        <f>INDEX(Financiamento_EV!$G$17:$G$136,A43)</f>
        <v>2451.5109510633256</v>
      </c>
      <c r="D43" s="10">
        <f>INDEX(Financiamento_EV!$L$17:$L$136,A43)</f>
        <v>0</v>
      </c>
      <c r="E43" s="10">
        <f>INDEX(Financiamento_EV!$M$17:$M$136,A43)</f>
        <v>2.0463630789890885E-11</v>
      </c>
      <c r="F43" s="10">
        <f>INDEX(Financiamento_EV!$N$17:$N$136,A43)</f>
        <v>2451.5109510633461</v>
      </c>
      <c r="G43" s="10">
        <f>IF(Comparador_EV!$J$8="","",Comparador_EV!$J$8/12)</f>
        <v>471.63600000000002</v>
      </c>
      <c r="H43" s="10">
        <f>IF(Comparador_EV!$J$12="","",Comparador_EV!$J$12/12)</f>
        <v>64.166666666666671</v>
      </c>
      <c r="I43" s="10">
        <f>IF(Comparador_EV!$J$9="","",Comparador_EV!$J$9/12)</f>
        <v>466.66666666666669</v>
      </c>
      <c r="J43" s="10">
        <f>IF(OR(Comparador_EV!$J$10="",Comparador_EV!$J$11=""),"",(Comparador_EV!$J$10+Comparador_EV!$J$11)/12)</f>
        <v>381.17333333333335</v>
      </c>
      <c r="K43" s="10">
        <f t="shared" ref="K43:K74" si="12">IF(COUNT(G43:J43)&lt;4,"",SUM(G43:J43))</f>
        <v>1383.6426666666669</v>
      </c>
      <c r="L43" s="10">
        <f t="shared" ref="L43:L74" si="13">IF(K43="","",F43+K43)</f>
        <v>3835.1536177300131</v>
      </c>
      <c r="M43" s="10">
        <f>Dashboard!$H$12</f>
        <v>2304.5500000000002</v>
      </c>
      <c r="N43" s="10">
        <f t="shared" ref="N43:N74" si="14">IF(OR(L43="",M43=""),"",L43-M43)</f>
        <v>1530.603617730013</v>
      </c>
      <c r="O43" s="10">
        <f>INDEX(Financiamento_EV!$O$17:$O$136,A43)</f>
        <v>32218.74990218307</v>
      </c>
      <c r="P43" s="10">
        <f t="shared" si="7"/>
        <v>50509.919385090405</v>
      </c>
      <c r="R43">
        <f t="shared" si="8"/>
        <v>34</v>
      </c>
      <c r="S43">
        <f t="shared" si="9"/>
        <v>3835.1536177300131</v>
      </c>
      <c r="T43">
        <f t="shared" si="10"/>
        <v>2304.5500000000002</v>
      </c>
      <c r="U43">
        <f t="shared" si="11"/>
        <v>1530.603617730013</v>
      </c>
    </row>
    <row r="44" spans="1:21">
      <c r="A44">
        <v>34</v>
      </c>
      <c r="B44" s="62">
        <f>INDEX(Financiamento_EV!$B$17:$B$136,A44)</f>
        <v>47270</v>
      </c>
      <c r="C44" s="10">
        <f>INDEX(Financiamento_EV!$G$17:$G$136,A44)</f>
        <v>2451.5109510633247</v>
      </c>
      <c r="D44" s="10">
        <f>INDEX(Financiamento_EV!$L$17:$L$136,A44)</f>
        <v>0</v>
      </c>
      <c r="E44" s="10">
        <f>INDEX(Financiamento_EV!$M$17:$M$136,A44)</f>
        <v>2.1373125491663814E-11</v>
      </c>
      <c r="F44" s="10">
        <f>INDEX(Financiamento_EV!$N$17:$N$136,A44)</f>
        <v>2451.5109510633461</v>
      </c>
      <c r="G44" s="10">
        <f>IF(Comparador_EV!$J$8="","",Comparador_EV!$J$8/12)</f>
        <v>471.63600000000002</v>
      </c>
      <c r="H44" s="10">
        <f>IF(Comparador_EV!$J$12="","",Comparador_EV!$J$12/12)</f>
        <v>64.166666666666671</v>
      </c>
      <c r="I44" s="10">
        <f>IF(Comparador_EV!$J$9="","",Comparador_EV!$J$9/12)</f>
        <v>466.66666666666669</v>
      </c>
      <c r="J44" s="10">
        <f>IF(OR(Comparador_EV!$J$10="",Comparador_EV!$J$11=""),"",(Comparador_EV!$J$10+Comparador_EV!$J$11)/12)</f>
        <v>381.17333333333335</v>
      </c>
      <c r="K44" s="10">
        <f t="shared" si="12"/>
        <v>1383.6426666666669</v>
      </c>
      <c r="L44" s="10">
        <f t="shared" si="13"/>
        <v>3835.1536177300131</v>
      </c>
      <c r="M44" s="10">
        <f>Dashboard!$H$12</f>
        <v>2304.5500000000002</v>
      </c>
      <c r="N44" s="10">
        <f t="shared" si="14"/>
        <v>1530.603617730013</v>
      </c>
      <c r="O44" s="10">
        <f>INDEX(Financiamento_EV!$O$17:$O$136,A44)</f>
        <v>30314.957699456834</v>
      </c>
      <c r="P44" s="10">
        <f t="shared" ref="P44:P75" si="15">P43+N44</f>
        <v>52040.523002820417</v>
      </c>
      <c r="R44">
        <f t="shared" si="8"/>
        <v>35</v>
      </c>
      <c r="S44">
        <f t="shared" si="9"/>
        <v>3835.1536177300131</v>
      </c>
      <c r="T44">
        <f t="shared" si="10"/>
        <v>2304.5500000000002</v>
      </c>
      <c r="U44">
        <f t="shared" si="11"/>
        <v>1530.603617730013</v>
      </c>
    </row>
    <row r="45" spans="1:21">
      <c r="A45">
        <v>35</v>
      </c>
      <c r="B45" s="62">
        <f>INDEX(Financiamento_EV!$B$17:$B$136,A45)</f>
        <v>47300</v>
      </c>
      <c r="C45" s="10">
        <f>INDEX(Financiamento_EV!$G$17:$G$136,A45)</f>
        <v>2451.510951063321</v>
      </c>
      <c r="D45" s="10">
        <f>INDEX(Financiamento_EV!$L$17:$L$136,A45)</f>
        <v>0</v>
      </c>
      <c r="E45" s="10">
        <f>INDEX(Financiamento_EV!$M$17:$M$136,A45)</f>
        <v>2.5011104298755527E-11</v>
      </c>
      <c r="F45" s="10">
        <f>INDEX(Financiamento_EV!$N$17:$N$136,A45)</f>
        <v>2451.5109510633461</v>
      </c>
      <c r="G45" s="10">
        <f>IF(Comparador_EV!$J$8="","",Comparador_EV!$J$8/12)</f>
        <v>471.63600000000002</v>
      </c>
      <c r="H45" s="10">
        <f>IF(Comparador_EV!$J$12="","",Comparador_EV!$J$12/12)</f>
        <v>64.166666666666671</v>
      </c>
      <c r="I45" s="10">
        <f>IF(Comparador_EV!$J$9="","",Comparador_EV!$J$9/12)</f>
        <v>466.66666666666669</v>
      </c>
      <c r="J45" s="10">
        <f>IF(OR(Comparador_EV!$J$10="",Comparador_EV!$J$11=""),"",(Comparador_EV!$J$10+Comparador_EV!$J$11)/12)</f>
        <v>381.17333333333335</v>
      </c>
      <c r="K45" s="10">
        <f t="shared" si="12"/>
        <v>1383.6426666666669</v>
      </c>
      <c r="L45" s="10">
        <f t="shared" si="13"/>
        <v>3835.1536177300131</v>
      </c>
      <c r="M45" s="10">
        <f>Dashboard!$H$12</f>
        <v>2304.5500000000002</v>
      </c>
      <c r="N45" s="10">
        <f t="shared" si="14"/>
        <v>1530.603617730013</v>
      </c>
      <c r="O45" s="10">
        <f>INDEX(Financiamento_EV!$O$17:$O$136,A45)</f>
        <v>28378.801029284255</v>
      </c>
      <c r="P45" s="10">
        <f t="shared" si="15"/>
        <v>53571.126620550429</v>
      </c>
      <c r="R45">
        <f t="shared" si="8"/>
        <v>36</v>
      </c>
      <c r="S45">
        <f t="shared" si="9"/>
        <v>3835.1536177300131</v>
      </c>
      <c r="T45">
        <f t="shared" si="10"/>
        <v>2304.5500000000002</v>
      </c>
      <c r="U45">
        <f t="shared" si="11"/>
        <v>1530.603617730013</v>
      </c>
    </row>
    <row r="46" spans="1:21">
      <c r="A46">
        <v>36</v>
      </c>
      <c r="B46" s="62">
        <f>INDEX(Financiamento_EV!$B$17:$B$136,A46)</f>
        <v>47331</v>
      </c>
      <c r="C46" s="10">
        <f>INDEX(Financiamento_EV!$G$17:$G$136,A46)</f>
        <v>2451.5109510633188</v>
      </c>
      <c r="D46" s="10">
        <f>INDEX(Financiamento_EV!$L$17:$L$136,A46)</f>
        <v>0</v>
      </c>
      <c r="E46" s="10">
        <f>INDEX(Financiamento_EV!$M$17:$M$136,A46)</f>
        <v>2.7284841053187847E-11</v>
      </c>
      <c r="F46" s="10">
        <f>INDEX(Financiamento_EV!$N$17:$N$136,A46)</f>
        <v>2451.5109510633461</v>
      </c>
      <c r="G46" s="10">
        <f>IF(Comparador_EV!$J$8="","",Comparador_EV!$J$8/12)</f>
        <v>471.63600000000002</v>
      </c>
      <c r="H46" s="10">
        <f>IF(Comparador_EV!$J$12="","",Comparador_EV!$J$12/12)</f>
        <v>64.166666666666671</v>
      </c>
      <c r="I46" s="10">
        <f>IF(Comparador_EV!$J$9="","",Comparador_EV!$J$9/12)</f>
        <v>466.66666666666669</v>
      </c>
      <c r="J46" s="10">
        <f>IF(OR(Comparador_EV!$J$10="",Comparador_EV!$J$11=""),"",(Comparador_EV!$J$10+Comparador_EV!$J$11)/12)</f>
        <v>381.17333333333335</v>
      </c>
      <c r="K46" s="10">
        <f t="shared" si="12"/>
        <v>1383.6426666666669</v>
      </c>
      <c r="L46" s="10">
        <f t="shared" si="13"/>
        <v>3835.1536177300131</v>
      </c>
      <c r="M46" s="10">
        <f>Dashboard!$H$12</f>
        <v>2304.5500000000002</v>
      </c>
      <c r="N46" s="10">
        <f t="shared" si="14"/>
        <v>1530.603617730013</v>
      </c>
      <c r="O46" s="10">
        <f>INDEX(Financiamento_EV!$O$17:$O$136,A46)</f>
        <v>26409.729695718743</v>
      </c>
      <c r="P46" s="10">
        <f t="shared" si="15"/>
        <v>55101.730238280441</v>
      </c>
      <c r="R46">
        <f t="shared" si="8"/>
        <v>37</v>
      </c>
      <c r="S46">
        <f t="shared" si="9"/>
        <v>3835.1536177300131</v>
      </c>
      <c r="T46">
        <f t="shared" si="10"/>
        <v>2304.5500000000002</v>
      </c>
      <c r="U46">
        <f t="shared" si="11"/>
        <v>1530.603617730013</v>
      </c>
    </row>
    <row r="47" spans="1:21">
      <c r="A47">
        <v>37</v>
      </c>
      <c r="B47" s="62">
        <f>INDEX(Financiamento_EV!$B$17:$B$136,A47)</f>
        <v>47362</v>
      </c>
      <c r="C47" s="10">
        <f>INDEX(Financiamento_EV!$G$17:$G$136,A47)</f>
        <v>2451.5109510633151</v>
      </c>
      <c r="D47" s="10">
        <f>INDEX(Financiamento_EV!$L$17:$L$136,A47)</f>
        <v>0</v>
      </c>
      <c r="E47" s="10">
        <f>INDEX(Financiamento_EV!$M$17:$M$136,A47)</f>
        <v>3.092281986027956E-11</v>
      </c>
      <c r="F47" s="10">
        <f>INDEX(Financiamento_EV!$N$17:$N$136,A47)</f>
        <v>2451.5109510633461</v>
      </c>
      <c r="G47" s="10">
        <f>IF(Comparador_EV!$J$8="","",Comparador_EV!$J$8/12)</f>
        <v>471.63600000000002</v>
      </c>
      <c r="H47" s="10">
        <f>IF(Comparador_EV!$J$12="","",Comparador_EV!$J$12/12)</f>
        <v>64.166666666666671</v>
      </c>
      <c r="I47" s="10">
        <f>IF(Comparador_EV!$J$9="","",Comparador_EV!$J$9/12)</f>
        <v>466.66666666666669</v>
      </c>
      <c r="J47" s="10">
        <f>IF(OR(Comparador_EV!$J$10="",Comparador_EV!$J$11=""),"",(Comparador_EV!$J$10+Comparador_EV!$J$11)/12)</f>
        <v>381.17333333333335</v>
      </c>
      <c r="K47" s="10">
        <f t="shared" si="12"/>
        <v>1383.6426666666669</v>
      </c>
      <c r="L47" s="10">
        <f t="shared" si="13"/>
        <v>3835.1536177300131</v>
      </c>
      <c r="M47" s="10">
        <f>Dashboard!$H$12</f>
        <v>2304.5500000000002</v>
      </c>
      <c r="N47" s="10">
        <f t="shared" si="14"/>
        <v>1530.603617730013</v>
      </c>
      <c r="O47" s="10">
        <f>INDEX(Financiamento_EV!$O$17:$O$136,A47)</f>
        <v>24407.184149482615</v>
      </c>
      <c r="P47" s="10">
        <f t="shared" si="15"/>
        <v>56632.333856010453</v>
      </c>
      <c r="R47">
        <f t="shared" si="8"/>
        <v>38</v>
      </c>
      <c r="S47">
        <f t="shared" si="9"/>
        <v>3835.1536177300131</v>
      </c>
      <c r="T47">
        <f t="shared" si="10"/>
        <v>2304.5500000000002</v>
      </c>
      <c r="U47">
        <f t="shared" si="11"/>
        <v>1530.603617730013</v>
      </c>
    </row>
    <row r="48" spans="1:21">
      <c r="A48">
        <v>38</v>
      </c>
      <c r="B48" s="62">
        <f>INDEX(Financiamento_EV!$B$17:$B$136,A48)</f>
        <v>47392</v>
      </c>
      <c r="C48" s="10">
        <f>INDEX(Financiamento_EV!$G$17:$G$136,A48)</f>
        <v>2451.510951063311</v>
      </c>
      <c r="D48" s="10">
        <f>INDEX(Financiamento_EV!$L$17:$L$136,A48)</f>
        <v>0</v>
      </c>
      <c r="E48" s="10">
        <f>INDEX(Financiamento_EV!$M$17:$M$136,A48)</f>
        <v>3.5015546018257737E-11</v>
      </c>
      <c r="F48" s="10">
        <f>INDEX(Financiamento_EV!$N$17:$N$136,A48)</f>
        <v>2451.5109510633461</v>
      </c>
      <c r="G48" s="10">
        <f>IF(Comparador_EV!$J$8="","",Comparador_EV!$J$8/12)</f>
        <v>471.63600000000002</v>
      </c>
      <c r="H48" s="10">
        <f>IF(Comparador_EV!$J$12="","",Comparador_EV!$J$12/12)</f>
        <v>64.166666666666671</v>
      </c>
      <c r="I48" s="10">
        <f>IF(Comparador_EV!$J$9="","",Comparador_EV!$J$9/12)</f>
        <v>466.66666666666669</v>
      </c>
      <c r="J48" s="10">
        <f>IF(OR(Comparador_EV!$J$10="",Comparador_EV!$J$11=""),"",(Comparador_EV!$J$10+Comparador_EV!$J$11)/12)</f>
        <v>381.17333333333335</v>
      </c>
      <c r="K48" s="10">
        <f t="shared" si="12"/>
        <v>1383.6426666666669</v>
      </c>
      <c r="L48" s="10">
        <f t="shared" si="13"/>
        <v>3835.1536177300131</v>
      </c>
      <c r="M48" s="10">
        <f>Dashboard!$H$12</f>
        <v>2304.5500000000002</v>
      </c>
      <c r="N48" s="10">
        <f t="shared" si="14"/>
        <v>1530.603617730013</v>
      </c>
      <c r="O48" s="10">
        <f>INDEX(Financiamento_EV!$O$17:$O$136,A48)</f>
        <v>22370.595328960473</v>
      </c>
      <c r="P48" s="10">
        <f t="shared" si="15"/>
        <v>58162.937473740465</v>
      </c>
      <c r="R48">
        <f t="shared" si="8"/>
        <v>39</v>
      </c>
      <c r="S48">
        <f t="shared" si="9"/>
        <v>3835.1536177300131</v>
      </c>
      <c r="T48">
        <f t="shared" si="10"/>
        <v>2304.5500000000002</v>
      </c>
      <c r="U48">
        <f t="shared" si="11"/>
        <v>1530.603617730013</v>
      </c>
    </row>
    <row r="49" spans="1:21">
      <c r="A49">
        <v>39</v>
      </c>
      <c r="B49" s="62">
        <f>INDEX(Financiamento_EV!$B$17:$B$136,A49)</f>
        <v>47423</v>
      </c>
      <c r="C49" s="10">
        <f>INDEX(Financiamento_EV!$G$17:$G$136,A49)</f>
        <v>2451.5109510633047</v>
      </c>
      <c r="D49" s="10">
        <f>INDEX(Financiamento_EV!$L$17:$L$136,A49)</f>
        <v>0</v>
      </c>
      <c r="E49" s="10">
        <f>INDEX(Financiamento_EV!$M$17:$M$136,A49)</f>
        <v>4.1382008930668235E-11</v>
      </c>
      <c r="F49" s="10">
        <f>INDEX(Financiamento_EV!$N$17:$N$136,A49)</f>
        <v>2451.5109510633461</v>
      </c>
      <c r="G49" s="10">
        <f>IF(Comparador_EV!$J$8="","",Comparador_EV!$J$8/12)</f>
        <v>471.63600000000002</v>
      </c>
      <c r="H49" s="10">
        <f>IF(Comparador_EV!$J$12="","",Comparador_EV!$J$12/12)</f>
        <v>64.166666666666671</v>
      </c>
      <c r="I49" s="10">
        <f>IF(Comparador_EV!$J$9="","",Comparador_EV!$J$9/12)</f>
        <v>466.66666666666669</v>
      </c>
      <c r="J49" s="10">
        <f>IF(OR(Comparador_EV!$J$10="",Comparador_EV!$J$11=""),"",(Comparador_EV!$J$10+Comparador_EV!$J$11)/12)</f>
        <v>381.17333333333335</v>
      </c>
      <c r="K49" s="10">
        <f t="shared" si="12"/>
        <v>1383.6426666666669</v>
      </c>
      <c r="L49" s="10">
        <f t="shared" si="13"/>
        <v>3835.1536177300131</v>
      </c>
      <c r="M49" s="10">
        <f>Dashboard!$H$12</f>
        <v>2304.5500000000002</v>
      </c>
      <c r="N49" s="10">
        <f t="shared" si="14"/>
        <v>1530.603617730013</v>
      </c>
      <c r="O49" s="10">
        <f>INDEX(Financiamento_EV!$O$17:$O$136,A49)</f>
        <v>20299.384498489457</v>
      </c>
      <c r="P49" s="10">
        <f t="shared" si="15"/>
        <v>59693.541091470477</v>
      </c>
      <c r="R49">
        <f t="shared" si="8"/>
        <v>40</v>
      </c>
      <c r="S49">
        <f t="shared" si="9"/>
        <v>3835.1536177300131</v>
      </c>
      <c r="T49">
        <f t="shared" si="10"/>
        <v>2304.5500000000002</v>
      </c>
      <c r="U49">
        <f t="shared" si="11"/>
        <v>1530.603617730013</v>
      </c>
    </row>
    <row r="50" spans="1:21">
      <c r="A50">
        <v>40</v>
      </c>
      <c r="B50" s="62">
        <f>INDEX(Financiamento_EV!$B$17:$B$136,A50)</f>
        <v>47453</v>
      </c>
      <c r="C50" s="10">
        <f>INDEX(Financiamento_EV!$G$17:$G$136,A50)</f>
        <v>2451.5109510632965</v>
      </c>
      <c r="D50" s="10">
        <f>INDEX(Financiamento_EV!$L$17:$L$136,A50)</f>
        <v>0</v>
      </c>
      <c r="E50" s="10">
        <f>INDEX(Financiamento_EV!$M$17:$M$136,A50)</f>
        <v>4.9567461246624589E-11</v>
      </c>
      <c r="F50" s="10">
        <f>INDEX(Financiamento_EV!$N$17:$N$136,A50)</f>
        <v>2451.5109510633461</v>
      </c>
      <c r="G50" s="10">
        <f>IF(Comparador_EV!$J$8="","",Comparador_EV!$J$8/12)</f>
        <v>471.63600000000002</v>
      </c>
      <c r="H50" s="10">
        <f>IF(Comparador_EV!$J$12="","",Comparador_EV!$J$12/12)</f>
        <v>64.166666666666671</v>
      </c>
      <c r="I50" s="10">
        <f>IF(Comparador_EV!$J$9="","",Comparador_EV!$J$9/12)</f>
        <v>466.66666666666669</v>
      </c>
      <c r="J50" s="10">
        <f>IF(OR(Comparador_EV!$J$10="",Comparador_EV!$J$11=""),"",(Comparador_EV!$J$10+Comparador_EV!$J$11)/12)</f>
        <v>381.17333333333335</v>
      </c>
      <c r="K50" s="10">
        <f t="shared" si="12"/>
        <v>1383.6426666666669</v>
      </c>
      <c r="L50" s="10">
        <f t="shared" si="13"/>
        <v>3835.1536177300131</v>
      </c>
      <c r="M50" s="10">
        <f>Dashboard!$H$12</f>
        <v>2304.5500000000002</v>
      </c>
      <c r="N50" s="10">
        <f t="shared" si="14"/>
        <v>1530.603617730013</v>
      </c>
      <c r="O50" s="10">
        <f>INDEX(Financiamento_EV!$O$17:$O$136,A50)</f>
        <v>18192.963083900431</v>
      </c>
      <c r="P50" s="10">
        <f t="shared" si="15"/>
        <v>61224.144709200489</v>
      </c>
      <c r="R50">
        <f t="shared" si="8"/>
        <v>41</v>
      </c>
      <c r="S50">
        <f t="shared" si="9"/>
        <v>3835.1536177300131</v>
      </c>
      <c r="T50">
        <f t="shared" si="10"/>
        <v>2304.5500000000002</v>
      </c>
      <c r="U50">
        <f t="shared" si="11"/>
        <v>1530.603617730013</v>
      </c>
    </row>
    <row r="51" spans="1:21">
      <c r="A51">
        <v>41</v>
      </c>
      <c r="B51" s="62">
        <f>INDEX(Financiamento_EV!$B$17:$B$136,A51)</f>
        <v>47484</v>
      </c>
      <c r="C51" s="10">
        <f>INDEX(Financiamento_EV!$G$17:$G$136,A51)</f>
        <v>2451.5109510632897</v>
      </c>
      <c r="D51" s="10">
        <f>INDEX(Financiamento_EV!$L$17:$L$136,A51)</f>
        <v>0</v>
      </c>
      <c r="E51" s="10">
        <f>INDEX(Financiamento_EV!$M$17:$M$136,A51)</f>
        <v>5.6388671509921551E-11</v>
      </c>
      <c r="F51" s="10">
        <f>INDEX(Financiamento_EV!$N$17:$N$136,A51)</f>
        <v>2451.5109510633461</v>
      </c>
      <c r="G51" s="10">
        <f>IF(Comparador_EV!$J$8="","",Comparador_EV!$J$8/12)</f>
        <v>471.63600000000002</v>
      </c>
      <c r="H51" s="10">
        <f>IF(Comparador_EV!$J$12="","",Comparador_EV!$J$12/12)</f>
        <v>64.166666666666671</v>
      </c>
      <c r="I51" s="10">
        <f>IF(Comparador_EV!$J$9="","",Comparador_EV!$J$9/12)</f>
        <v>466.66666666666669</v>
      </c>
      <c r="J51" s="10">
        <f>IF(OR(Comparador_EV!$J$10="",Comparador_EV!$J$11=""),"",(Comparador_EV!$J$10+Comparador_EV!$J$11)/12)</f>
        <v>381.17333333333335</v>
      </c>
      <c r="K51" s="10">
        <f t="shared" si="12"/>
        <v>1383.6426666666669</v>
      </c>
      <c r="L51" s="10">
        <f t="shared" si="13"/>
        <v>3835.1536177300131</v>
      </c>
      <c r="M51" s="10">
        <f>Dashboard!$H$12</f>
        <v>2304.5500000000002</v>
      </c>
      <c r="N51" s="10">
        <f t="shared" si="14"/>
        <v>1530.603617730013</v>
      </c>
      <c r="O51" s="10">
        <f>INDEX(Financiamento_EV!$O$17:$O$136,A51)</f>
        <v>16050.732505263391</v>
      </c>
      <c r="P51" s="10">
        <f t="shared" si="15"/>
        <v>62754.748326930501</v>
      </c>
      <c r="R51">
        <f t="shared" si="8"/>
        <v>42</v>
      </c>
      <c r="S51">
        <f t="shared" si="9"/>
        <v>3835.1536177300131</v>
      </c>
      <c r="T51">
        <f t="shared" si="10"/>
        <v>2304.5500000000002</v>
      </c>
      <c r="U51">
        <f t="shared" si="11"/>
        <v>1530.603617730013</v>
      </c>
    </row>
    <row r="52" spans="1:21">
      <c r="A52">
        <v>42</v>
      </c>
      <c r="B52" s="62">
        <f>INDEX(Financiamento_EV!$B$17:$B$136,A52)</f>
        <v>47515</v>
      </c>
      <c r="C52" s="10">
        <f>INDEX(Financiamento_EV!$G$17:$G$136,A52)</f>
        <v>2451.5109510632838</v>
      </c>
      <c r="D52" s="10">
        <f>INDEX(Financiamento_EV!$L$17:$L$136,A52)</f>
        <v>0</v>
      </c>
      <c r="E52" s="10">
        <f>INDEX(Financiamento_EV!$M$17:$M$136,A52)</f>
        <v>6.2300387071445584E-11</v>
      </c>
      <c r="F52" s="10">
        <f>INDEX(Financiamento_EV!$N$17:$N$136,A52)</f>
        <v>2451.5109510633461</v>
      </c>
      <c r="G52" s="10">
        <f>IF(Comparador_EV!$J$8="","",Comparador_EV!$J$8/12)</f>
        <v>471.63600000000002</v>
      </c>
      <c r="H52" s="10">
        <f>IF(Comparador_EV!$J$12="","",Comparador_EV!$J$12/12)</f>
        <v>64.166666666666671</v>
      </c>
      <c r="I52" s="10">
        <f>IF(Comparador_EV!$J$9="","",Comparador_EV!$J$9/12)</f>
        <v>466.66666666666669</v>
      </c>
      <c r="J52" s="10">
        <f>IF(OR(Comparador_EV!$J$10="",Comparador_EV!$J$11=""),"",(Comparador_EV!$J$10+Comparador_EV!$J$11)/12)</f>
        <v>381.17333333333335</v>
      </c>
      <c r="K52" s="10">
        <f t="shared" si="12"/>
        <v>1383.6426666666669</v>
      </c>
      <c r="L52" s="10">
        <f t="shared" si="13"/>
        <v>3835.1536177300131</v>
      </c>
      <c r="M52" s="10">
        <f>Dashboard!$H$12</f>
        <v>2304.5500000000002</v>
      </c>
      <c r="N52" s="10">
        <f t="shared" si="14"/>
        <v>1530.603617730013</v>
      </c>
      <c r="O52" s="10">
        <f>INDEX(Financiamento_EV!$O$17:$O$136,A52)</f>
        <v>13872.084006789522</v>
      </c>
      <c r="P52" s="10">
        <f t="shared" si="15"/>
        <v>64285.351944660513</v>
      </c>
      <c r="R52">
        <f t="shared" si="8"/>
        <v>43</v>
      </c>
      <c r="S52">
        <f t="shared" si="9"/>
        <v>3835.1536177300131</v>
      </c>
      <c r="T52">
        <f t="shared" si="10"/>
        <v>2304.5500000000002</v>
      </c>
      <c r="U52">
        <f t="shared" si="11"/>
        <v>1530.603617730013</v>
      </c>
    </row>
    <row r="53" spans="1:21">
      <c r="A53">
        <v>43</v>
      </c>
      <c r="B53" s="62">
        <f>INDEX(Financiamento_EV!$B$17:$B$136,A53)</f>
        <v>47543</v>
      </c>
      <c r="C53" s="10">
        <f>INDEX(Financiamento_EV!$G$17:$G$136,A53)</f>
        <v>2451.5109510632692</v>
      </c>
      <c r="D53" s="10">
        <f>INDEX(Financiamento_EV!$L$17:$L$136,A53)</f>
        <v>0</v>
      </c>
      <c r="E53" s="10">
        <f>INDEX(Financiamento_EV!$M$17:$M$136,A53)</f>
        <v>7.6852302299812436E-11</v>
      </c>
      <c r="F53" s="10">
        <f>INDEX(Financiamento_EV!$N$17:$N$136,A53)</f>
        <v>2451.5109510633461</v>
      </c>
      <c r="G53" s="10">
        <f>IF(Comparador_EV!$J$8="","",Comparador_EV!$J$8/12)</f>
        <v>471.63600000000002</v>
      </c>
      <c r="H53" s="10">
        <f>IF(Comparador_EV!$J$12="","",Comparador_EV!$J$12/12)</f>
        <v>64.166666666666671</v>
      </c>
      <c r="I53" s="10">
        <f>IF(Comparador_EV!$J$9="","",Comparador_EV!$J$9/12)</f>
        <v>466.66666666666669</v>
      </c>
      <c r="J53" s="10">
        <f>IF(OR(Comparador_EV!$J$10="",Comparador_EV!$J$11=""),"",(Comparador_EV!$J$10+Comparador_EV!$J$11)/12)</f>
        <v>381.17333333333335</v>
      </c>
      <c r="K53" s="10">
        <f t="shared" si="12"/>
        <v>1383.6426666666669</v>
      </c>
      <c r="L53" s="10">
        <f t="shared" si="13"/>
        <v>3835.1536177300131</v>
      </c>
      <c r="M53" s="10">
        <f>Dashboard!$H$12</f>
        <v>2304.5500000000002</v>
      </c>
      <c r="N53" s="10">
        <f t="shared" si="14"/>
        <v>1530.603617730013</v>
      </c>
      <c r="O53" s="10">
        <f>INDEX(Financiamento_EV!$O$17:$O$136,A53)</f>
        <v>11656.398483841598</v>
      </c>
      <c r="P53" s="10">
        <f t="shared" si="15"/>
        <v>65815.955562390533</v>
      </c>
      <c r="R53">
        <f t="shared" si="8"/>
        <v>44</v>
      </c>
      <c r="S53">
        <f t="shared" si="9"/>
        <v>3835.1536177300131</v>
      </c>
      <c r="T53">
        <f t="shared" si="10"/>
        <v>2304.5500000000002</v>
      </c>
      <c r="U53">
        <f t="shared" si="11"/>
        <v>1530.603617730013</v>
      </c>
    </row>
    <row r="54" spans="1:21">
      <c r="A54">
        <v>44</v>
      </c>
      <c r="B54" s="62">
        <f>INDEX(Financiamento_EV!$B$17:$B$136,A54)</f>
        <v>47574</v>
      </c>
      <c r="C54" s="10">
        <f>INDEX(Financiamento_EV!$G$17:$G$136,A54)</f>
        <v>2451.5109510632496</v>
      </c>
      <c r="D54" s="10">
        <f>INDEX(Financiamento_EV!$L$17:$L$136,A54)</f>
        <v>0</v>
      </c>
      <c r="E54" s="10">
        <f>INDEX(Financiamento_EV!$M$17:$M$136,A54)</f>
        <v>9.6406438387930393E-11</v>
      </c>
      <c r="F54" s="10">
        <f>INDEX(Financiamento_EV!$N$17:$N$136,A54)</f>
        <v>2451.5109510633461</v>
      </c>
      <c r="G54" s="10">
        <f>IF(Comparador_EV!$J$8="","",Comparador_EV!$J$8/12)</f>
        <v>471.63600000000002</v>
      </c>
      <c r="H54" s="10">
        <f>IF(Comparador_EV!$J$12="","",Comparador_EV!$J$12/12)</f>
        <v>64.166666666666671</v>
      </c>
      <c r="I54" s="10">
        <f>IF(Comparador_EV!$J$9="","",Comparador_EV!$J$9/12)</f>
        <v>466.66666666666669</v>
      </c>
      <c r="J54" s="10">
        <f>IF(OR(Comparador_EV!$J$10="",Comparador_EV!$J$11=""),"",(Comparador_EV!$J$10+Comparador_EV!$J$11)/12)</f>
        <v>381.17333333333335</v>
      </c>
      <c r="K54" s="10">
        <f t="shared" si="12"/>
        <v>1383.6426666666669</v>
      </c>
      <c r="L54" s="10">
        <f t="shared" si="13"/>
        <v>3835.1536177300131</v>
      </c>
      <c r="M54" s="10">
        <f>Dashboard!$H$12</f>
        <v>2304.5500000000002</v>
      </c>
      <c r="N54" s="10">
        <f t="shared" si="14"/>
        <v>1530.603617730013</v>
      </c>
      <c r="O54" s="10">
        <f>INDEX(Financiamento_EV!$O$17:$O$136,A54)</f>
        <v>9403.0463070035603</v>
      </c>
      <c r="P54" s="10">
        <f t="shared" si="15"/>
        <v>67346.559180120545</v>
      </c>
      <c r="R54">
        <f t="shared" si="8"/>
        <v>45</v>
      </c>
      <c r="S54">
        <f t="shared" si="9"/>
        <v>3835.1536177300131</v>
      </c>
      <c r="T54">
        <f t="shared" si="10"/>
        <v>2304.5500000000002</v>
      </c>
      <c r="U54">
        <f t="shared" si="11"/>
        <v>1530.603617730013</v>
      </c>
    </row>
    <row r="55" spans="1:21">
      <c r="A55">
        <v>45</v>
      </c>
      <c r="B55" s="62">
        <f>INDEX(Financiamento_EV!$B$17:$B$136,A55)</f>
        <v>47604</v>
      </c>
      <c r="C55" s="10">
        <f>INDEX(Financiamento_EV!$G$17:$G$136,A55)</f>
        <v>2451.5109510632196</v>
      </c>
      <c r="D55" s="10">
        <f>INDEX(Financiamento_EV!$L$17:$L$136,A55)</f>
        <v>0</v>
      </c>
      <c r="E55" s="10">
        <f>INDEX(Financiamento_EV!$M$17:$M$136,A55)</f>
        <v>1.2641976354643703E-10</v>
      </c>
      <c r="F55" s="10">
        <f>INDEX(Financiamento_EV!$N$17:$N$136,A55)</f>
        <v>2451.5109510633461</v>
      </c>
      <c r="G55" s="10">
        <f>IF(Comparador_EV!$J$8="","",Comparador_EV!$J$8/12)</f>
        <v>471.63600000000002</v>
      </c>
      <c r="H55" s="10">
        <f>IF(Comparador_EV!$J$12="","",Comparador_EV!$J$12/12)</f>
        <v>64.166666666666671</v>
      </c>
      <c r="I55" s="10">
        <f>IF(Comparador_EV!$J$9="","",Comparador_EV!$J$9/12)</f>
        <v>466.66666666666669</v>
      </c>
      <c r="J55" s="10">
        <f>IF(OR(Comparador_EV!$J$10="",Comparador_EV!$J$11=""),"",(Comparador_EV!$J$10+Comparador_EV!$J$11)/12)</f>
        <v>381.17333333333335</v>
      </c>
      <c r="K55" s="10">
        <f t="shared" si="12"/>
        <v>1383.6426666666669</v>
      </c>
      <c r="L55" s="10">
        <f t="shared" si="13"/>
        <v>3835.1536177300131</v>
      </c>
      <c r="M55" s="10">
        <f>Dashboard!$H$12</f>
        <v>2304.5500000000002</v>
      </c>
      <c r="N55" s="10">
        <f t="shared" si="14"/>
        <v>1530.603617730013</v>
      </c>
      <c r="O55" s="10">
        <f>INDEX(Financiamento_EV!$O$17:$O$136,A55)</f>
        <v>7111.3871431592752</v>
      </c>
      <c r="P55" s="10">
        <f t="shared" si="15"/>
        <v>68877.162797850557</v>
      </c>
      <c r="R55">
        <f t="shared" si="8"/>
        <v>46</v>
      </c>
      <c r="S55">
        <f t="shared" si="9"/>
        <v>3835.1536177300131</v>
      </c>
      <c r="T55">
        <f t="shared" si="10"/>
        <v>2304.5500000000002</v>
      </c>
      <c r="U55">
        <f t="shared" si="11"/>
        <v>1530.603617730013</v>
      </c>
    </row>
    <row r="56" spans="1:21">
      <c r="A56">
        <v>46</v>
      </c>
      <c r="B56" s="62">
        <f>INDEX(Financiamento_EV!$B$17:$B$136,A56)</f>
        <v>47635</v>
      </c>
      <c r="C56" s="10">
        <f>INDEX(Financiamento_EV!$G$17:$G$136,A56)</f>
        <v>2451.5109510631751</v>
      </c>
      <c r="D56" s="10">
        <f>INDEX(Financiamento_EV!$L$17:$L$136,A56)</f>
        <v>0</v>
      </c>
      <c r="E56" s="10">
        <f>INDEX(Financiamento_EV!$M$17:$M$136,A56)</f>
        <v>1.7098500393331051E-10</v>
      </c>
      <c r="F56" s="10">
        <f>INDEX(Financiamento_EV!$N$17:$N$136,A56)</f>
        <v>2451.5109510633461</v>
      </c>
      <c r="G56" s="10">
        <f>IF(Comparador_EV!$J$8="","",Comparador_EV!$J$8/12)</f>
        <v>471.63600000000002</v>
      </c>
      <c r="H56" s="10">
        <f>IF(Comparador_EV!$J$12="","",Comparador_EV!$J$12/12)</f>
        <v>64.166666666666671</v>
      </c>
      <c r="I56" s="10">
        <f>IF(Comparador_EV!$J$9="","",Comparador_EV!$J$9/12)</f>
        <v>466.66666666666669</v>
      </c>
      <c r="J56" s="10">
        <f>IF(OR(Comparador_EV!$J$10="",Comparador_EV!$J$11=""),"",(Comparador_EV!$J$10+Comparador_EV!$J$11)/12)</f>
        <v>381.17333333333335</v>
      </c>
      <c r="K56" s="10">
        <f t="shared" si="12"/>
        <v>1383.6426666666669</v>
      </c>
      <c r="L56" s="10">
        <f t="shared" si="13"/>
        <v>3835.1536177300131</v>
      </c>
      <c r="M56" s="10">
        <f>Dashboard!$H$12</f>
        <v>2304.5500000000002</v>
      </c>
      <c r="N56" s="10">
        <f t="shared" si="14"/>
        <v>1530.603617730013</v>
      </c>
      <c r="O56" s="10">
        <f>INDEX(Financiamento_EV!$O$17:$O$136,A56)</f>
        <v>4780.769773529637</v>
      </c>
      <c r="P56" s="10">
        <f t="shared" si="15"/>
        <v>70407.766415580569</v>
      </c>
      <c r="R56">
        <f t="shared" si="8"/>
        <v>47</v>
      </c>
      <c r="S56">
        <f t="shared" si="9"/>
        <v>3835.1536177300131</v>
      </c>
      <c r="T56">
        <f t="shared" si="10"/>
        <v>2304.5500000000002</v>
      </c>
      <c r="U56">
        <f t="shared" si="11"/>
        <v>1530.603617730013</v>
      </c>
    </row>
    <row r="57" spans="1:21">
      <c r="A57">
        <v>47</v>
      </c>
      <c r="B57" s="62">
        <f>INDEX(Financiamento_EV!$B$17:$B$136,A57)</f>
        <v>47665</v>
      </c>
      <c r="C57" s="10">
        <f>INDEX(Financiamento_EV!$G$17:$G$136,A57)</f>
        <v>2451.5109510630773</v>
      </c>
      <c r="D57" s="10">
        <f>INDEX(Financiamento_EV!$L$17:$L$136,A57)</f>
        <v>0</v>
      </c>
      <c r="E57" s="10">
        <f>INDEX(Financiamento_EV!$M$17:$M$136,A57)</f>
        <v>2.6875568437390029E-10</v>
      </c>
      <c r="F57" s="10">
        <f>INDEX(Financiamento_EV!$N$17:$N$136,A57)</f>
        <v>2451.5109510633461</v>
      </c>
      <c r="G57" s="10">
        <f>IF(Comparador_EV!$J$8="","",Comparador_EV!$J$8/12)</f>
        <v>471.63600000000002</v>
      </c>
      <c r="H57" s="10">
        <f>IF(Comparador_EV!$J$12="","",Comparador_EV!$J$12/12)</f>
        <v>64.166666666666671</v>
      </c>
      <c r="I57" s="10">
        <f>IF(Comparador_EV!$J$9="","",Comparador_EV!$J$9/12)</f>
        <v>466.66666666666669</v>
      </c>
      <c r="J57" s="10">
        <f>IF(OR(Comparador_EV!$J$10="",Comparador_EV!$J$11=""),"",(Comparador_EV!$J$10+Comparador_EV!$J$11)/12)</f>
        <v>381.17333333333335</v>
      </c>
      <c r="K57" s="10">
        <f t="shared" si="12"/>
        <v>1383.6426666666669</v>
      </c>
      <c r="L57" s="10">
        <f t="shared" si="13"/>
        <v>3835.1536177300131</v>
      </c>
      <c r="M57" s="10">
        <f>Dashboard!$H$12</f>
        <v>2304.5500000000002</v>
      </c>
      <c r="N57" s="10">
        <f t="shared" si="14"/>
        <v>1530.603617730013</v>
      </c>
      <c r="O57" s="10">
        <f>INDEX(Financiamento_EV!$O$17:$O$136,A57)</f>
        <v>2410.5319086162949</v>
      </c>
      <c r="P57" s="10">
        <f t="shared" si="15"/>
        <v>71938.370033310581</v>
      </c>
      <c r="R57">
        <f t="shared" si="8"/>
        <v>48</v>
      </c>
      <c r="S57">
        <f t="shared" si="9"/>
        <v>3835.1536177294474</v>
      </c>
      <c r="T57">
        <f t="shared" si="10"/>
        <v>2304.5500000000002</v>
      </c>
      <c r="U57">
        <f t="shared" si="11"/>
        <v>1530.6036177294473</v>
      </c>
    </row>
    <row r="58" spans="1:21">
      <c r="A58">
        <v>48</v>
      </c>
      <c r="B58" s="62">
        <f>INDEX(Financiamento_EV!$B$17:$B$136,A58)</f>
        <v>47696</v>
      </c>
      <c r="C58" s="10">
        <f>INDEX(Financiamento_EV!$G$17:$G$136,A58)</f>
        <v>2451.5109510627808</v>
      </c>
      <c r="D58" s="10">
        <f>INDEX(Financiamento_EV!$L$17:$L$136,A58)</f>
        <v>0</v>
      </c>
      <c r="E58" s="10">
        <f>INDEX(Financiamento_EV!$M$17:$M$136,A58)</f>
        <v>0</v>
      </c>
      <c r="F58" s="10">
        <f>INDEX(Financiamento_EV!$N$17:$N$136,A58)</f>
        <v>2451.5109510627808</v>
      </c>
      <c r="G58" s="10">
        <f>IF(Comparador_EV!$J$8="","",Comparador_EV!$J$8/12)</f>
        <v>471.63600000000002</v>
      </c>
      <c r="H58" s="10">
        <f>IF(Comparador_EV!$J$12="","",Comparador_EV!$J$12/12)</f>
        <v>64.166666666666671</v>
      </c>
      <c r="I58" s="10">
        <f>IF(Comparador_EV!$J$9="","",Comparador_EV!$J$9/12)</f>
        <v>466.66666666666669</v>
      </c>
      <c r="J58" s="10">
        <f>IF(OR(Comparador_EV!$J$10="",Comparador_EV!$J$11=""),"",(Comparador_EV!$J$10+Comparador_EV!$J$11)/12)</f>
        <v>381.17333333333335</v>
      </c>
      <c r="K58" s="10">
        <f t="shared" si="12"/>
        <v>1383.6426666666669</v>
      </c>
      <c r="L58" s="10">
        <f t="shared" si="13"/>
        <v>3835.1536177294474</v>
      </c>
      <c r="M58" s="10">
        <f>Dashboard!$H$12</f>
        <v>2304.5500000000002</v>
      </c>
      <c r="N58" s="10">
        <f t="shared" si="14"/>
        <v>1530.6036177294473</v>
      </c>
      <c r="O58" s="10">
        <f>INDEX(Financiamento_EV!$O$17:$O$136,A58)</f>
        <v>0</v>
      </c>
      <c r="P58" s="10">
        <f t="shared" si="15"/>
        <v>73468.973651040025</v>
      </c>
      <c r="R58">
        <f t="shared" si="8"/>
        <v>49</v>
      </c>
      <c r="S58">
        <f t="shared" si="9"/>
        <v>1383.6426666666669</v>
      </c>
      <c r="T58">
        <f t="shared" si="10"/>
        <v>2304.5500000000002</v>
      </c>
      <c r="U58">
        <f t="shared" si="11"/>
        <v>-920.90733333333333</v>
      </c>
    </row>
    <row r="59" spans="1:21">
      <c r="A59">
        <v>49</v>
      </c>
      <c r="B59" s="62">
        <f>INDEX(Financiamento_EV!$B$17:$B$136,A59)</f>
        <v>47727</v>
      </c>
      <c r="C59" s="10">
        <f>INDEX(Financiamento_EV!$G$17:$G$136,A59)</f>
        <v>0</v>
      </c>
      <c r="D59" s="10">
        <f>INDEX(Financiamento_EV!$L$17:$L$136,A59)</f>
        <v>0</v>
      </c>
      <c r="E59" s="10">
        <f>INDEX(Financiamento_EV!$M$17:$M$136,A59)</f>
        <v>0</v>
      </c>
      <c r="F59" s="10">
        <f>INDEX(Financiamento_EV!$N$17:$N$136,A59)</f>
        <v>0</v>
      </c>
      <c r="G59" s="10">
        <f>IF(Comparador_EV!$J$8="","",Comparador_EV!$J$8/12)</f>
        <v>471.63600000000002</v>
      </c>
      <c r="H59" s="10">
        <f>IF(Comparador_EV!$J$12="","",Comparador_EV!$J$12/12)</f>
        <v>64.166666666666671</v>
      </c>
      <c r="I59" s="10">
        <f>IF(Comparador_EV!$J$9="","",Comparador_EV!$J$9/12)</f>
        <v>466.66666666666669</v>
      </c>
      <c r="J59" s="10">
        <f>IF(OR(Comparador_EV!$J$10="",Comparador_EV!$J$11=""),"",(Comparador_EV!$J$10+Comparador_EV!$J$11)/12)</f>
        <v>381.17333333333335</v>
      </c>
      <c r="K59" s="10">
        <f t="shared" si="12"/>
        <v>1383.6426666666669</v>
      </c>
      <c r="L59" s="10">
        <f t="shared" si="13"/>
        <v>1383.6426666666669</v>
      </c>
      <c r="M59" s="10">
        <f>Dashboard!$H$12</f>
        <v>2304.5500000000002</v>
      </c>
      <c r="N59" s="10">
        <f t="shared" si="14"/>
        <v>-920.90733333333333</v>
      </c>
      <c r="O59" s="10">
        <f>INDEX(Financiamento_EV!$O$17:$O$136,A59)</f>
        <v>0</v>
      </c>
      <c r="P59" s="10">
        <f t="shared" si="15"/>
        <v>72548.066317706689</v>
      </c>
      <c r="R59">
        <f t="shared" si="8"/>
        <v>50</v>
      </c>
      <c r="S59">
        <f t="shared" si="9"/>
        <v>1383.6426666666669</v>
      </c>
      <c r="T59">
        <f t="shared" si="10"/>
        <v>2304.5500000000002</v>
      </c>
      <c r="U59">
        <f t="shared" si="11"/>
        <v>-920.90733333333333</v>
      </c>
    </row>
    <row r="60" spans="1:21">
      <c r="A60">
        <v>50</v>
      </c>
      <c r="B60" s="62">
        <f>INDEX(Financiamento_EV!$B$17:$B$136,A60)</f>
        <v>47757</v>
      </c>
      <c r="C60" s="10">
        <f>INDEX(Financiamento_EV!$G$17:$G$136,A60)</f>
        <v>0</v>
      </c>
      <c r="D60" s="10">
        <f>INDEX(Financiamento_EV!$L$17:$L$136,A60)</f>
        <v>0</v>
      </c>
      <c r="E60" s="10">
        <f>INDEX(Financiamento_EV!$M$17:$M$136,A60)</f>
        <v>0</v>
      </c>
      <c r="F60" s="10">
        <f>INDEX(Financiamento_EV!$N$17:$N$136,A60)</f>
        <v>0</v>
      </c>
      <c r="G60" s="10">
        <f>IF(Comparador_EV!$J$8="","",Comparador_EV!$J$8/12)</f>
        <v>471.63600000000002</v>
      </c>
      <c r="H60" s="10">
        <f>IF(Comparador_EV!$J$12="","",Comparador_EV!$J$12/12)</f>
        <v>64.166666666666671</v>
      </c>
      <c r="I60" s="10">
        <f>IF(Comparador_EV!$J$9="","",Comparador_EV!$J$9/12)</f>
        <v>466.66666666666669</v>
      </c>
      <c r="J60" s="10">
        <f>IF(OR(Comparador_EV!$J$10="",Comparador_EV!$J$11=""),"",(Comparador_EV!$J$10+Comparador_EV!$J$11)/12)</f>
        <v>381.17333333333335</v>
      </c>
      <c r="K60" s="10">
        <f t="shared" si="12"/>
        <v>1383.6426666666669</v>
      </c>
      <c r="L60" s="10">
        <f t="shared" si="13"/>
        <v>1383.6426666666669</v>
      </c>
      <c r="M60" s="10">
        <f>Dashboard!$H$12</f>
        <v>2304.5500000000002</v>
      </c>
      <c r="N60" s="10">
        <f t="shared" si="14"/>
        <v>-920.90733333333333</v>
      </c>
      <c r="O60" s="10">
        <f>INDEX(Financiamento_EV!$O$17:$O$136,A60)</f>
        <v>0</v>
      </c>
      <c r="P60" s="10">
        <f t="shared" si="15"/>
        <v>71627.158984373353</v>
      </c>
      <c r="R60">
        <f t="shared" si="8"/>
        <v>51</v>
      </c>
      <c r="S60">
        <f t="shared" si="9"/>
        <v>1383.6426666666669</v>
      </c>
      <c r="T60">
        <f t="shared" si="10"/>
        <v>2304.5500000000002</v>
      </c>
      <c r="U60">
        <f t="shared" si="11"/>
        <v>-920.90733333333333</v>
      </c>
    </row>
    <row r="61" spans="1:21">
      <c r="A61">
        <v>51</v>
      </c>
      <c r="B61" s="62">
        <f>INDEX(Financiamento_EV!$B$17:$B$136,A61)</f>
        <v>47788</v>
      </c>
      <c r="C61" s="10">
        <f>INDEX(Financiamento_EV!$G$17:$G$136,A61)</f>
        <v>0</v>
      </c>
      <c r="D61" s="10">
        <f>INDEX(Financiamento_EV!$L$17:$L$136,A61)</f>
        <v>0</v>
      </c>
      <c r="E61" s="10">
        <f>INDEX(Financiamento_EV!$M$17:$M$136,A61)</f>
        <v>0</v>
      </c>
      <c r="F61" s="10">
        <f>INDEX(Financiamento_EV!$N$17:$N$136,A61)</f>
        <v>0</v>
      </c>
      <c r="G61" s="10">
        <f>IF(Comparador_EV!$J$8="","",Comparador_EV!$J$8/12)</f>
        <v>471.63600000000002</v>
      </c>
      <c r="H61" s="10">
        <f>IF(Comparador_EV!$J$12="","",Comparador_EV!$J$12/12)</f>
        <v>64.166666666666671</v>
      </c>
      <c r="I61" s="10">
        <f>IF(Comparador_EV!$J$9="","",Comparador_EV!$J$9/12)</f>
        <v>466.66666666666669</v>
      </c>
      <c r="J61" s="10">
        <f>IF(OR(Comparador_EV!$J$10="",Comparador_EV!$J$11=""),"",(Comparador_EV!$J$10+Comparador_EV!$J$11)/12)</f>
        <v>381.17333333333335</v>
      </c>
      <c r="K61" s="10">
        <f t="shared" si="12"/>
        <v>1383.6426666666669</v>
      </c>
      <c r="L61" s="10">
        <f t="shared" si="13"/>
        <v>1383.6426666666669</v>
      </c>
      <c r="M61" s="10">
        <f>Dashboard!$H$12</f>
        <v>2304.5500000000002</v>
      </c>
      <c r="N61" s="10">
        <f t="shared" si="14"/>
        <v>-920.90733333333333</v>
      </c>
      <c r="O61" s="10">
        <f>INDEX(Financiamento_EV!$O$17:$O$136,A61)</f>
        <v>0</v>
      </c>
      <c r="P61" s="10">
        <f t="shared" si="15"/>
        <v>70706.251651040016</v>
      </c>
      <c r="R61">
        <f t="shared" si="8"/>
        <v>52</v>
      </c>
      <c r="S61">
        <f t="shared" si="9"/>
        <v>1383.6426666666669</v>
      </c>
      <c r="T61">
        <f t="shared" si="10"/>
        <v>2304.5500000000002</v>
      </c>
      <c r="U61">
        <f t="shared" si="11"/>
        <v>-920.90733333333333</v>
      </c>
    </row>
    <row r="62" spans="1:21">
      <c r="A62">
        <v>52</v>
      </c>
      <c r="B62" s="62">
        <f>INDEX(Financiamento_EV!$B$17:$B$136,A62)</f>
        <v>47818</v>
      </c>
      <c r="C62" s="10">
        <f>INDEX(Financiamento_EV!$G$17:$G$136,A62)</f>
        <v>0</v>
      </c>
      <c r="D62" s="10">
        <f>INDEX(Financiamento_EV!$L$17:$L$136,A62)</f>
        <v>0</v>
      </c>
      <c r="E62" s="10">
        <f>INDEX(Financiamento_EV!$M$17:$M$136,A62)</f>
        <v>0</v>
      </c>
      <c r="F62" s="10">
        <f>INDEX(Financiamento_EV!$N$17:$N$136,A62)</f>
        <v>0</v>
      </c>
      <c r="G62" s="10">
        <f>IF(Comparador_EV!$J$8="","",Comparador_EV!$J$8/12)</f>
        <v>471.63600000000002</v>
      </c>
      <c r="H62" s="10">
        <f>IF(Comparador_EV!$J$12="","",Comparador_EV!$J$12/12)</f>
        <v>64.166666666666671</v>
      </c>
      <c r="I62" s="10">
        <f>IF(Comparador_EV!$J$9="","",Comparador_EV!$J$9/12)</f>
        <v>466.66666666666669</v>
      </c>
      <c r="J62" s="10">
        <f>IF(OR(Comparador_EV!$J$10="",Comparador_EV!$J$11=""),"",(Comparador_EV!$J$10+Comparador_EV!$J$11)/12)</f>
        <v>381.17333333333335</v>
      </c>
      <c r="K62" s="10">
        <f t="shared" si="12"/>
        <v>1383.6426666666669</v>
      </c>
      <c r="L62" s="10">
        <f t="shared" si="13"/>
        <v>1383.6426666666669</v>
      </c>
      <c r="M62" s="10">
        <f>Dashboard!$H$12</f>
        <v>2304.5500000000002</v>
      </c>
      <c r="N62" s="10">
        <f t="shared" si="14"/>
        <v>-920.90733333333333</v>
      </c>
      <c r="O62" s="10">
        <f>INDEX(Financiamento_EV!$O$17:$O$136,A62)</f>
        <v>0</v>
      </c>
      <c r="P62" s="10">
        <f t="shared" si="15"/>
        <v>69785.34431770668</v>
      </c>
      <c r="R62">
        <f t="shared" si="8"/>
        <v>53</v>
      </c>
      <c r="S62">
        <f t="shared" si="9"/>
        <v>1383.6426666666669</v>
      </c>
      <c r="T62">
        <f t="shared" si="10"/>
        <v>2304.5500000000002</v>
      </c>
      <c r="U62">
        <f t="shared" si="11"/>
        <v>-920.90733333333333</v>
      </c>
    </row>
    <row r="63" spans="1:21">
      <c r="A63">
        <v>53</v>
      </c>
      <c r="B63" s="62">
        <f>INDEX(Financiamento_EV!$B$17:$B$136,A63)</f>
        <v>47849</v>
      </c>
      <c r="C63" s="10">
        <f>INDEX(Financiamento_EV!$G$17:$G$136,A63)</f>
        <v>0</v>
      </c>
      <c r="D63" s="10">
        <f>INDEX(Financiamento_EV!$L$17:$L$136,A63)</f>
        <v>0</v>
      </c>
      <c r="E63" s="10">
        <f>INDEX(Financiamento_EV!$M$17:$M$136,A63)</f>
        <v>0</v>
      </c>
      <c r="F63" s="10">
        <f>INDEX(Financiamento_EV!$N$17:$N$136,A63)</f>
        <v>0</v>
      </c>
      <c r="G63" s="10">
        <f>IF(Comparador_EV!$J$8="","",Comparador_EV!$J$8/12)</f>
        <v>471.63600000000002</v>
      </c>
      <c r="H63" s="10">
        <f>IF(Comparador_EV!$J$12="","",Comparador_EV!$J$12/12)</f>
        <v>64.166666666666671</v>
      </c>
      <c r="I63" s="10">
        <f>IF(Comparador_EV!$J$9="","",Comparador_EV!$J$9/12)</f>
        <v>466.66666666666669</v>
      </c>
      <c r="J63" s="10">
        <f>IF(OR(Comparador_EV!$J$10="",Comparador_EV!$J$11=""),"",(Comparador_EV!$J$10+Comparador_EV!$J$11)/12)</f>
        <v>381.17333333333335</v>
      </c>
      <c r="K63" s="10">
        <f t="shared" si="12"/>
        <v>1383.6426666666669</v>
      </c>
      <c r="L63" s="10">
        <f t="shared" si="13"/>
        <v>1383.6426666666669</v>
      </c>
      <c r="M63" s="10">
        <f>Dashboard!$H$12</f>
        <v>2304.5500000000002</v>
      </c>
      <c r="N63" s="10">
        <f t="shared" si="14"/>
        <v>-920.90733333333333</v>
      </c>
      <c r="O63" s="10">
        <f>INDEX(Financiamento_EV!$O$17:$O$136,A63)</f>
        <v>0</v>
      </c>
      <c r="P63" s="10">
        <f t="shared" si="15"/>
        <v>68864.436984373344</v>
      </c>
      <c r="R63">
        <f t="shared" si="8"/>
        <v>54</v>
      </c>
      <c r="S63">
        <f t="shared" si="9"/>
        <v>1383.6426666666669</v>
      </c>
      <c r="T63">
        <f t="shared" si="10"/>
        <v>2304.5500000000002</v>
      </c>
      <c r="U63">
        <f t="shared" si="11"/>
        <v>-920.90733333333333</v>
      </c>
    </row>
    <row r="64" spans="1:21">
      <c r="A64">
        <v>54</v>
      </c>
      <c r="B64" s="62">
        <f>INDEX(Financiamento_EV!$B$17:$B$136,A64)</f>
        <v>47880</v>
      </c>
      <c r="C64" s="10">
        <f>INDEX(Financiamento_EV!$G$17:$G$136,A64)</f>
        <v>0</v>
      </c>
      <c r="D64" s="10">
        <f>INDEX(Financiamento_EV!$L$17:$L$136,A64)</f>
        <v>0</v>
      </c>
      <c r="E64" s="10">
        <f>INDEX(Financiamento_EV!$M$17:$M$136,A64)</f>
        <v>0</v>
      </c>
      <c r="F64" s="10">
        <f>INDEX(Financiamento_EV!$N$17:$N$136,A64)</f>
        <v>0</v>
      </c>
      <c r="G64" s="10">
        <f>IF(Comparador_EV!$J$8="","",Comparador_EV!$J$8/12)</f>
        <v>471.63600000000002</v>
      </c>
      <c r="H64" s="10">
        <f>IF(Comparador_EV!$J$12="","",Comparador_EV!$J$12/12)</f>
        <v>64.166666666666671</v>
      </c>
      <c r="I64" s="10">
        <f>IF(Comparador_EV!$J$9="","",Comparador_EV!$J$9/12)</f>
        <v>466.66666666666669</v>
      </c>
      <c r="J64" s="10">
        <f>IF(OR(Comparador_EV!$J$10="",Comparador_EV!$J$11=""),"",(Comparador_EV!$J$10+Comparador_EV!$J$11)/12)</f>
        <v>381.17333333333335</v>
      </c>
      <c r="K64" s="10">
        <f t="shared" si="12"/>
        <v>1383.6426666666669</v>
      </c>
      <c r="L64" s="10">
        <f t="shared" si="13"/>
        <v>1383.6426666666669</v>
      </c>
      <c r="M64" s="10">
        <f>Dashboard!$H$12</f>
        <v>2304.5500000000002</v>
      </c>
      <c r="N64" s="10">
        <f t="shared" si="14"/>
        <v>-920.90733333333333</v>
      </c>
      <c r="O64" s="10">
        <f>INDEX(Financiamento_EV!$O$17:$O$136,A64)</f>
        <v>0</v>
      </c>
      <c r="P64" s="10">
        <f t="shared" si="15"/>
        <v>67943.529651040008</v>
      </c>
      <c r="R64">
        <f t="shared" si="8"/>
        <v>55</v>
      </c>
      <c r="S64">
        <f t="shared" si="9"/>
        <v>1383.6426666666669</v>
      </c>
      <c r="T64">
        <f t="shared" si="10"/>
        <v>2304.5500000000002</v>
      </c>
      <c r="U64">
        <f t="shared" si="11"/>
        <v>-920.90733333333333</v>
      </c>
    </row>
    <row r="65" spans="1:21">
      <c r="A65">
        <v>55</v>
      </c>
      <c r="B65" s="62">
        <f>INDEX(Financiamento_EV!$B$17:$B$136,A65)</f>
        <v>47908</v>
      </c>
      <c r="C65" s="10">
        <f>INDEX(Financiamento_EV!$G$17:$G$136,A65)</f>
        <v>0</v>
      </c>
      <c r="D65" s="10">
        <f>INDEX(Financiamento_EV!$L$17:$L$136,A65)</f>
        <v>0</v>
      </c>
      <c r="E65" s="10">
        <f>INDEX(Financiamento_EV!$M$17:$M$136,A65)</f>
        <v>0</v>
      </c>
      <c r="F65" s="10">
        <f>INDEX(Financiamento_EV!$N$17:$N$136,A65)</f>
        <v>0</v>
      </c>
      <c r="G65" s="10">
        <f>IF(Comparador_EV!$J$8="","",Comparador_EV!$J$8/12)</f>
        <v>471.63600000000002</v>
      </c>
      <c r="H65" s="10">
        <f>IF(Comparador_EV!$J$12="","",Comparador_EV!$J$12/12)</f>
        <v>64.166666666666671</v>
      </c>
      <c r="I65" s="10">
        <f>IF(Comparador_EV!$J$9="","",Comparador_EV!$J$9/12)</f>
        <v>466.66666666666669</v>
      </c>
      <c r="J65" s="10">
        <f>IF(OR(Comparador_EV!$J$10="",Comparador_EV!$J$11=""),"",(Comparador_EV!$J$10+Comparador_EV!$J$11)/12)</f>
        <v>381.17333333333335</v>
      </c>
      <c r="K65" s="10">
        <f t="shared" si="12"/>
        <v>1383.6426666666669</v>
      </c>
      <c r="L65" s="10">
        <f t="shared" si="13"/>
        <v>1383.6426666666669</v>
      </c>
      <c r="M65" s="10">
        <f>Dashboard!$H$12</f>
        <v>2304.5500000000002</v>
      </c>
      <c r="N65" s="10">
        <f t="shared" si="14"/>
        <v>-920.90733333333333</v>
      </c>
      <c r="O65" s="10">
        <f>INDEX(Financiamento_EV!$O$17:$O$136,A65)</f>
        <v>0</v>
      </c>
      <c r="P65" s="10">
        <f t="shared" si="15"/>
        <v>67022.622317706671</v>
      </c>
      <c r="R65">
        <f t="shared" si="8"/>
        <v>56</v>
      </c>
      <c r="S65">
        <f t="shared" si="9"/>
        <v>1383.6426666666669</v>
      </c>
      <c r="T65">
        <f t="shared" si="10"/>
        <v>2304.5500000000002</v>
      </c>
      <c r="U65">
        <f t="shared" si="11"/>
        <v>-920.90733333333333</v>
      </c>
    </row>
    <row r="66" spans="1:21">
      <c r="A66">
        <v>56</v>
      </c>
      <c r="B66" s="62">
        <f>INDEX(Financiamento_EV!$B$17:$B$136,A66)</f>
        <v>47939</v>
      </c>
      <c r="C66" s="10">
        <f>INDEX(Financiamento_EV!$G$17:$G$136,A66)</f>
        <v>0</v>
      </c>
      <c r="D66" s="10">
        <f>INDEX(Financiamento_EV!$L$17:$L$136,A66)</f>
        <v>0</v>
      </c>
      <c r="E66" s="10">
        <f>INDEX(Financiamento_EV!$M$17:$M$136,A66)</f>
        <v>0</v>
      </c>
      <c r="F66" s="10">
        <f>INDEX(Financiamento_EV!$N$17:$N$136,A66)</f>
        <v>0</v>
      </c>
      <c r="G66" s="10">
        <f>IF(Comparador_EV!$J$8="","",Comparador_EV!$J$8/12)</f>
        <v>471.63600000000002</v>
      </c>
      <c r="H66" s="10">
        <f>IF(Comparador_EV!$J$12="","",Comparador_EV!$J$12/12)</f>
        <v>64.166666666666671</v>
      </c>
      <c r="I66" s="10">
        <f>IF(Comparador_EV!$J$9="","",Comparador_EV!$J$9/12)</f>
        <v>466.66666666666669</v>
      </c>
      <c r="J66" s="10">
        <f>IF(OR(Comparador_EV!$J$10="",Comparador_EV!$J$11=""),"",(Comparador_EV!$J$10+Comparador_EV!$J$11)/12)</f>
        <v>381.17333333333335</v>
      </c>
      <c r="K66" s="10">
        <f t="shared" si="12"/>
        <v>1383.6426666666669</v>
      </c>
      <c r="L66" s="10">
        <f t="shared" si="13"/>
        <v>1383.6426666666669</v>
      </c>
      <c r="M66" s="10">
        <f>Dashboard!$H$12</f>
        <v>2304.5500000000002</v>
      </c>
      <c r="N66" s="10">
        <f t="shared" si="14"/>
        <v>-920.90733333333333</v>
      </c>
      <c r="O66" s="10">
        <f>INDEX(Financiamento_EV!$O$17:$O$136,A66)</f>
        <v>0</v>
      </c>
      <c r="P66" s="10">
        <f t="shared" si="15"/>
        <v>66101.714984373335</v>
      </c>
      <c r="R66">
        <f t="shared" si="8"/>
        <v>57</v>
      </c>
      <c r="S66">
        <f t="shared" si="9"/>
        <v>1383.6426666666669</v>
      </c>
      <c r="T66">
        <f t="shared" si="10"/>
        <v>2304.5500000000002</v>
      </c>
      <c r="U66">
        <f t="shared" si="11"/>
        <v>-920.90733333333333</v>
      </c>
    </row>
    <row r="67" spans="1:21">
      <c r="A67">
        <v>57</v>
      </c>
      <c r="B67" s="62">
        <f>INDEX(Financiamento_EV!$B$17:$B$136,A67)</f>
        <v>47969</v>
      </c>
      <c r="C67" s="10">
        <f>INDEX(Financiamento_EV!$G$17:$G$136,A67)</f>
        <v>0</v>
      </c>
      <c r="D67" s="10">
        <f>INDEX(Financiamento_EV!$L$17:$L$136,A67)</f>
        <v>0</v>
      </c>
      <c r="E67" s="10">
        <f>INDEX(Financiamento_EV!$M$17:$M$136,A67)</f>
        <v>0</v>
      </c>
      <c r="F67" s="10">
        <f>INDEX(Financiamento_EV!$N$17:$N$136,A67)</f>
        <v>0</v>
      </c>
      <c r="G67" s="10">
        <f>IF(Comparador_EV!$J$8="","",Comparador_EV!$J$8/12)</f>
        <v>471.63600000000002</v>
      </c>
      <c r="H67" s="10">
        <f>IF(Comparador_EV!$J$12="","",Comparador_EV!$J$12/12)</f>
        <v>64.166666666666671</v>
      </c>
      <c r="I67" s="10">
        <f>IF(Comparador_EV!$J$9="","",Comparador_EV!$J$9/12)</f>
        <v>466.66666666666669</v>
      </c>
      <c r="J67" s="10">
        <f>IF(OR(Comparador_EV!$J$10="",Comparador_EV!$J$11=""),"",(Comparador_EV!$J$10+Comparador_EV!$J$11)/12)</f>
        <v>381.17333333333335</v>
      </c>
      <c r="K67" s="10">
        <f t="shared" si="12"/>
        <v>1383.6426666666669</v>
      </c>
      <c r="L67" s="10">
        <f t="shared" si="13"/>
        <v>1383.6426666666669</v>
      </c>
      <c r="M67" s="10">
        <f>Dashboard!$H$12</f>
        <v>2304.5500000000002</v>
      </c>
      <c r="N67" s="10">
        <f t="shared" si="14"/>
        <v>-920.90733333333333</v>
      </c>
      <c r="O67" s="10">
        <f>INDEX(Financiamento_EV!$O$17:$O$136,A67)</f>
        <v>0</v>
      </c>
      <c r="P67" s="10">
        <f t="shared" si="15"/>
        <v>65180.807651039999</v>
      </c>
      <c r="R67">
        <f t="shared" si="8"/>
        <v>58</v>
      </c>
      <c r="S67">
        <f t="shared" si="9"/>
        <v>1383.6426666666669</v>
      </c>
      <c r="T67">
        <f t="shared" si="10"/>
        <v>2304.5500000000002</v>
      </c>
      <c r="U67">
        <f t="shared" si="11"/>
        <v>-920.90733333333333</v>
      </c>
    </row>
    <row r="68" spans="1:21">
      <c r="A68">
        <v>58</v>
      </c>
      <c r="B68" s="62">
        <f>INDEX(Financiamento_EV!$B$17:$B$136,A68)</f>
        <v>48000</v>
      </c>
      <c r="C68" s="10">
        <f>INDEX(Financiamento_EV!$G$17:$G$136,A68)</f>
        <v>0</v>
      </c>
      <c r="D68" s="10">
        <f>INDEX(Financiamento_EV!$L$17:$L$136,A68)</f>
        <v>0</v>
      </c>
      <c r="E68" s="10">
        <f>INDEX(Financiamento_EV!$M$17:$M$136,A68)</f>
        <v>0</v>
      </c>
      <c r="F68" s="10">
        <f>INDEX(Financiamento_EV!$N$17:$N$136,A68)</f>
        <v>0</v>
      </c>
      <c r="G68" s="10">
        <f>IF(Comparador_EV!$J$8="","",Comparador_EV!$J$8/12)</f>
        <v>471.63600000000002</v>
      </c>
      <c r="H68" s="10">
        <f>IF(Comparador_EV!$J$12="","",Comparador_EV!$J$12/12)</f>
        <v>64.166666666666671</v>
      </c>
      <c r="I68" s="10">
        <f>IF(Comparador_EV!$J$9="","",Comparador_EV!$J$9/12)</f>
        <v>466.66666666666669</v>
      </c>
      <c r="J68" s="10">
        <f>IF(OR(Comparador_EV!$J$10="",Comparador_EV!$J$11=""),"",(Comparador_EV!$J$10+Comparador_EV!$J$11)/12)</f>
        <v>381.17333333333335</v>
      </c>
      <c r="K68" s="10">
        <f t="shared" si="12"/>
        <v>1383.6426666666669</v>
      </c>
      <c r="L68" s="10">
        <f t="shared" si="13"/>
        <v>1383.6426666666669</v>
      </c>
      <c r="M68" s="10">
        <f>Dashboard!$H$12</f>
        <v>2304.5500000000002</v>
      </c>
      <c r="N68" s="10">
        <f t="shared" si="14"/>
        <v>-920.90733333333333</v>
      </c>
      <c r="O68" s="10">
        <f>INDEX(Financiamento_EV!$O$17:$O$136,A68)</f>
        <v>0</v>
      </c>
      <c r="P68" s="10">
        <f t="shared" si="15"/>
        <v>64259.900317706662</v>
      </c>
      <c r="R68">
        <f t="shared" si="8"/>
        <v>59</v>
      </c>
      <c r="S68">
        <f t="shared" si="9"/>
        <v>1383.6426666666669</v>
      </c>
      <c r="T68">
        <f t="shared" si="10"/>
        <v>2304.5500000000002</v>
      </c>
      <c r="U68">
        <f t="shared" si="11"/>
        <v>-920.90733333333333</v>
      </c>
    </row>
    <row r="69" spans="1:21">
      <c r="A69">
        <v>59</v>
      </c>
      <c r="B69" s="62">
        <f>INDEX(Financiamento_EV!$B$17:$B$136,A69)</f>
        <v>48030</v>
      </c>
      <c r="C69" s="10">
        <f>INDEX(Financiamento_EV!$G$17:$G$136,A69)</f>
        <v>0</v>
      </c>
      <c r="D69" s="10">
        <f>INDEX(Financiamento_EV!$L$17:$L$136,A69)</f>
        <v>0</v>
      </c>
      <c r="E69" s="10">
        <f>INDEX(Financiamento_EV!$M$17:$M$136,A69)</f>
        <v>0</v>
      </c>
      <c r="F69" s="10">
        <f>INDEX(Financiamento_EV!$N$17:$N$136,A69)</f>
        <v>0</v>
      </c>
      <c r="G69" s="10">
        <f>IF(Comparador_EV!$J$8="","",Comparador_EV!$J$8/12)</f>
        <v>471.63600000000002</v>
      </c>
      <c r="H69" s="10">
        <f>IF(Comparador_EV!$J$12="","",Comparador_EV!$J$12/12)</f>
        <v>64.166666666666671</v>
      </c>
      <c r="I69" s="10">
        <f>IF(Comparador_EV!$J$9="","",Comparador_EV!$J$9/12)</f>
        <v>466.66666666666669</v>
      </c>
      <c r="J69" s="10">
        <f>IF(OR(Comparador_EV!$J$10="",Comparador_EV!$J$11=""),"",(Comparador_EV!$J$10+Comparador_EV!$J$11)/12)</f>
        <v>381.17333333333335</v>
      </c>
      <c r="K69" s="10">
        <f t="shared" si="12"/>
        <v>1383.6426666666669</v>
      </c>
      <c r="L69" s="10">
        <f t="shared" si="13"/>
        <v>1383.6426666666669</v>
      </c>
      <c r="M69" s="10">
        <f>Dashboard!$H$12</f>
        <v>2304.5500000000002</v>
      </c>
      <c r="N69" s="10">
        <f t="shared" si="14"/>
        <v>-920.90733333333333</v>
      </c>
      <c r="O69" s="10">
        <f>INDEX(Financiamento_EV!$O$17:$O$136,A69)</f>
        <v>0</v>
      </c>
      <c r="P69" s="10">
        <f t="shared" si="15"/>
        <v>63338.992984373326</v>
      </c>
      <c r="R69">
        <f t="shared" si="8"/>
        <v>60</v>
      </c>
      <c r="S69">
        <f t="shared" si="9"/>
        <v>1383.6426666666669</v>
      </c>
      <c r="T69">
        <f t="shared" si="10"/>
        <v>2304.5500000000002</v>
      </c>
      <c r="U69">
        <f t="shared" si="11"/>
        <v>-920.90733333333333</v>
      </c>
    </row>
    <row r="70" spans="1:21">
      <c r="A70">
        <v>60</v>
      </c>
      <c r="B70" s="62">
        <f>INDEX(Financiamento_EV!$B$17:$B$136,A70)</f>
        <v>48061</v>
      </c>
      <c r="C70" s="10">
        <f>INDEX(Financiamento_EV!$G$17:$G$136,A70)</f>
        <v>0</v>
      </c>
      <c r="D70" s="10">
        <f>INDEX(Financiamento_EV!$L$17:$L$136,A70)</f>
        <v>0</v>
      </c>
      <c r="E70" s="10">
        <f>INDEX(Financiamento_EV!$M$17:$M$136,A70)</f>
        <v>0</v>
      </c>
      <c r="F70" s="10">
        <f>INDEX(Financiamento_EV!$N$17:$N$136,A70)</f>
        <v>0</v>
      </c>
      <c r="G70" s="10">
        <f>IF(Comparador_EV!$J$8="","",Comparador_EV!$J$8/12)</f>
        <v>471.63600000000002</v>
      </c>
      <c r="H70" s="10">
        <f>IF(Comparador_EV!$J$12="","",Comparador_EV!$J$12/12)</f>
        <v>64.166666666666671</v>
      </c>
      <c r="I70" s="10">
        <f>IF(Comparador_EV!$J$9="","",Comparador_EV!$J$9/12)</f>
        <v>466.66666666666669</v>
      </c>
      <c r="J70" s="10">
        <f>IF(OR(Comparador_EV!$J$10="",Comparador_EV!$J$11=""),"",(Comparador_EV!$J$10+Comparador_EV!$J$11)/12)</f>
        <v>381.17333333333335</v>
      </c>
      <c r="K70" s="10">
        <f t="shared" si="12"/>
        <v>1383.6426666666669</v>
      </c>
      <c r="L70" s="10">
        <f t="shared" si="13"/>
        <v>1383.6426666666669</v>
      </c>
      <c r="M70" s="10">
        <f>Dashboard!$H$12</f>
        <v>2304.5500000000002</v>
      </c>
      <c r="N70" s="10">
        <f t="shared" si="14"/>
        <v>-920.90733333333333</v>
      </c>
      <c r="O70" s="10">
        <f>INDEX(Financiamento_EV!$O$17:$O$136,A70)</f>
        <v>0</v>
      </c>
      <c r="P70" s="10">
        <f t="shared" si="15"/>
        <v>62418.08565103999</v>
      </c>
    </row>
    <row r="71" spans="1:21">
      <c r="A71">
        <v>61</v>
      </c>
      <c r="B71" s="62">
        <f>INDEX(Financiamento_EV!$B$17:$B$136,A71)</f>
        <v>48092</v>
      </c>
      <c r="C71" s="10">
        <f>INDEX(Financiamento_EV!$G$17:$G$136,A71)</f>
        <v>0</v>
      </c>
      <c r="D71" s="10">
        <f>INDEX(Financiamento_EV!$L$17:$L$136,A71)</f>
        <v>0</v>
      </c>
      <c r="E71" s="10">
        <f>INDEX(Financiamento_EV!$M$17:$M$136,A71)</f>
        <v>0</v>
      </c>
      <c r="F71" s="10">
        <f>INDEX(Financiamento_EV!$N$17:$N$136,A71)</f>
        <v>0</v>
      </c>
      <c r="G71" s="10">
        <f>IF(Comparador_EV!$J$8="","",Comparador_EV!$J$8/12)</f>
        <v>471.63600000000002</v>
      </c>
      <c r="H71" s="10">
        <f>IF(Comparador_EV!$J$12="","",Comparador_EV!$J$12/12)</f>
        <v>64.166666666666671</v>
      </c>
      <c r="I71" s="10">
        <f>IF(Comparador_EV!$J$9="","",Comparador_EV!$J$9/12)</f>
        <v>466.66666666666669</v>
      </c>
      <c r="J71" s="10">
        <f>IF(OR(Comparador_EV!$J$10="",Comparador_EV!$J$11=""),"",(Comparador_EV!$J$10+Comparador_EV!$J$11)/12)</f>
        <v>381.17333333333335</v>
      </c>
      <c r="K71" s="10">
        <f t="shared" si="12"/>
        <v>1383.6426666666669</v>
      </c>
      <c r="L71" s="10">
        <f t="shared" si="13"/>
        <v>1383.6426666666669</v>
      </c>
      <c r="M71" s="10">
        <f>Dashboard!$H$12</f>
        <v>2304.5500000000002</v>
      </c>
      <c r="N71" s="10">
        <f t="shared" si="14"/>
        <v>-920.90733333333333</v>
      </c>
      <c r="O71" s="10">
        <f>INDEX(Financiamento_EV!$O$17:$O$136,A71)</f>
        <v>0</v>
      </c>
      <c r="P71" s="10">
        <f t="shared" si="15"/>
        <v>61497.178317706654</v>
      </c>
    </row>
    <row r="72" spans="1:21">
      <c r="A72">
        <v>62</v>
      </c>
      <c r="B72" s="62">
        <f>INDEX(Financiamento_EV!$B$17:$B$136,A72)</f>
        <v>48122</v>
      </c>
      <c r="C72" s="10">
        <f>INDEX(Financiamento_EV!$G$17:$G$136,A72)</f>
        <v>0</v>
      </c>
      <c r="D72" s="10">
        <f>INDEX(Financiamento_EV!$L$17:$L$136,A72)</f>
        <v>0</v>
      </c>
      <c r="E72" s="10">
        <f>INDEX(Financiamento_EV!$M$17:$M$136,A72)</f>
        <v>0</v>
      </c>
      <c r="F72" s="10">
        <f>INDEX(Financiamento_EV!$N$17:$N$136,A72)</f>
        <v>0</v>
      </c>
      <c r="G72" s="10">
        <f>IF(Comparador_EV!$J$8="","",Comparador_EV!$J$8/12)</f>
        <v>471.63600000000002</v>
      </c>
      <c r="H72" s="10">
        <f>IF(Comparador_EV!$J$12="","",Comparador_EV!$J$12/12)</f>
        <v>64.166666666666671</v>
      </c>
      <c r="I72" s="10">
        <f>IF(Comparador_EV!$J$9="","",Comparador_EV!$J$9/12)</f>
        <v>466.66666666666669</v>
      </c>
      <c r="J72" s="10">
        <f>IF(OR(Comparador_EV!$J$10="",Comparador_EV!$J$11=""),"",(Comparador_EV!$J$10+Comparador_EV!$J$11)/12)</f>
        <v>381.17333333333335</v>
      </c>
      <c r="K72" s="10">
        <f t="shared" si="12"/>
        <v>1383.6426666666669</v>
      </c>
      <c r="L72" s="10">
        <f t="shared" si="13"/>
        <v>1383.6426666666669</v>
      </c>
      <c r="M72" s="10">
        <f>Dashboard!$H$12</f>
        <v>2304.5500000000002</v>
      </c>
      <c r="N72" s="10">
        <f t="shared" si="14"/>
        <v>-920.90733333333333</v>
      </c>
      <c r="O72" s="10">
        <f>INDEX(Financiamento_EV!$O$17:$O$136,A72)</f>
        <v>0</v>
      </c>
      <c r="P72" s="10">
        <f t="shared" si="15"/>
        <v>60576.270984373317</v>
      </c>
    </row>
    <row r="73" spans="1:21">
      <c r="A73">
        <v>63</v>
      </c>
      <c r="B73" s="62">
        <f>INDEX(Financiamento_EV!$B$17:$B$136,A73)</f>
        <v>48153</v>
      </c>
      <c r="C73" s="10">
        <f>INDEX(Financiamento_EV!$G$17:$G$136,A73)</f>
        <v>0</v>
      </c>
      <c r="D73" s="10">
        <f>INDEX(Financiamento_EV!$L$17:$L$136,A73)</f>
        <v>0</v>
      </c>
      <c r="E73" s="10">
        <f>INDEX(Financiamento_EV!$M$17:$M$136,A73)</f>
        <v>0</v>
      </c>
      <c r="F73" s="10">
        <f>INDEX(Financiamento_EV!$N$17:$N$136,A73)</f>
        <v>0</v>
      </c>
      <c r="G73" s="10">
        <f>IF(Comparador_EV!$J$8="","",Comparador_EV!$J$8/12)</f>
        <v>471.63600000000002</v>
      </c>
      <c r="H73" s="10">
        <f>IF(Comparador_EV!$J$12="","",Comparador_EV!$J$12/12)</f>
        <v>64.166666666666671</v>
      </c>
      <c r="I73" s="10">
        <f>IF(Comparador_EV!$J$9="","",Comparador_EV!$J$9/12)</f>
        <v>466.66666666666669</v>
      </c>
      <c r="J73" s="10">
        <f>IF(OR(Comparador_EV!$J$10="",Comparador_EV!$J$11=""),"",(Comparador_EV!$J$10+Comparador_EV!$J$11)/12)</f>
        <v>381.17333333333335</v>
      </c>
      <c r="K73" s="10">
        <f t="shared" si="12"/>
        <v>1383.6426666666669</v>
      </c>
      <c r="L73" s="10">
        <f t="shared" si="13"/>
        <v>1383.6426666666669</v>
      </c>
      <c r="M73" s="10">
        <f>Dashboard!$H$12</f>
        <v>2304.5500000000002</v>
      </c>
      <c r="N73" s="10">
        <f t="shared" si="14"/>
        <v>-920.90733333333333</v>
      </c>
      <c r="O73" s="10">
        <f>INDEX(Financiamento_EV!$O$17:$O$136,A73)</f>
        <v>0</v>
      </c>
      <c r="P73" s="10">
        <f t="shared" si="15"/>
        <v>59655.363651039981</v>
      </c>
    </row>
    <row r="74" spans="1:21">
      <c r="A74">
        <v>64</v>
      </c>
      <c r="B74" s="62">
        <f>INDEX(Financiamento_EV!$B$17:$B$136,A74)</f>
        <v>48183</v>
      </c>
      <c r="C74" s="10">
        <f>INDEX(Financiamento_EV!$G$17:$G$136,A74)</f>
        <v>0</v>
      </c>
      <c r="D74" s="10">
        <f>INDEX(Financiamento_EV!$L$17:$L$136,A74)</f>
        <v>0</v>
      </c>
      <c r="E74" s="10">
        <f>INDEX(Financiamento_EV!$M$17:$M$136,A74)</f>
        <v>0</v>
      </c>
      <c r="F74" s="10">
        <f>INDEX(Financiamento_EV!$N$17:$N$136,A74)</f>
        <v>0</v>
      </c>
      <c r="G74" s="10">
        <f>IF(Comparador_EV!$J$8="","",Comparador_EV!$J$8/12)</f>
        <v>471.63600000000002</v>
      </c>
      <c r="H74" s="10">
        <f>IF(Comparador_EV!$J$12="","",Comparador_EV!$J$12/12)</f>
        <v>64.166666666666671</v>
      </c>
      <c r="I74" s="10">
        <f>IF(Comparador_EV!$J$9="","",Comparador_EV!$J$9/12)</f>
        <v>466.66666666666669</v>
      </c>
      <c r="J74" s="10">
        <f>IF(OR(Comparador_EV!$J$10="",Comparador_EV!$J$11=""),"",(Comparador_EV!$J$10+Comparador_EV!$J$11)/12)</f>
        <v>381.17333333333335</v>
      </c>
      <c r="K74" s="10">
        <f t="shared" si="12"/>
        <v>1383.6426666666669</v>
      </c>
      <c r="L74" s="10">
        <f t="shared" si="13"/>
        <v>1383.6426666666669</v>
      </c>
      <c r="M74" s="10">
        <f>Dashboard!$H$12</f>
        <v>2304.5500000000002</v>
      </c>
      <c r="N74" s="10">
        <f t="shared" si="14"/>
        <v>-920.90733333333333</v>
      </c>
      <c r="O74" s="10">
        <f>INDEX(Financiamento_EV!$O$17:$O$136,A74)</f>
        <v>0</v>
      </c>
      <c r="P74" s="10">
        <f t="shared" si="15"/>
        <v>58734.456317706645</v>
      </c>
    </row>
    <row r="75" spans="1:21">
      <c r="A75">
        <v>65</v>
      </c>
      <c r="B75" s="62">
        <f>INDEX(Financiamento_EV!$B$17:$B$136,A75)</f>
        <v>48214</v>
      </c>
      <c r="C75" s="10">
        <f>INDEX(Financiamento_EV!$G$17:$G$136,A75)</f>
        <v>0</v>
      </c>
      <c r="D75" s="10">
        <f>INDEX(Financiamento_EV!$L$17:$L$136,A75)</f>
        <v>0</v>
      </c>
      <c r="E75" s="10">
        <f>INDEX(Financiamento_EV!$M$17:$M$136,A75)</f>
        <v>0</v>
      </c>
      <c r="F75" s="10">
        <f>INDEX(Financiamento_EV!$N$17:$N$136,A75)</f>
        <v>0</v>
      </c>
      <c r="G75" s="10">
        <f>IF(Comparador_EV!$J$8="","",Comparador_EV!$J$8/12)</f>
        <v>471.63600000000002</v>
      </c>
      <c r="H75" s="10">
        <f>IF(Comparador_EV!$J$12="","",Comparador_EV!$J$12/12)</f>
        <v>64.166666666666671</v>
      </c>
      <c r="I75" s="10">
        <f>IF(Comparador_EV!$J$9="","",Comparador_EV!$J$9/12)</f>
        <v>466.66666666666669</v>
      </c>
      <c r="J75" s="10">
        <f>IF(OR(Comparador_EV!$J$10="",Comparador_EV!$J$11=""),"",(Comparador_EV!$J$10+Comparador_EV!$J$11)/12)</f>
        <v>381.17333333333335</v>
      </c>
      <c r="K75" s="10">
        <f t="shared" ref="K75:K106" si="16">IF(COUNT(G75:J75)&lt;4,"",SUM(G75:J75))</f>
        <v>1383.6426666666669</v>
      </c>
      <c r="L75" s="10">
        <f t="shared" ref="L75:L106" si="17">IF(K75="","",F75+K75)</f>
        <v>1383.6426666666669</v>
      </c>
      <c r="M75" s="10">
        <f>Dashboard!$H$12</f>
        <v>2304.5500000000002</v>
      </c>
      <c r="N75" s="10">
        <f t="shared" ref="N75:N106" si="18">IF(OR(L75="",M75=""),"",L75-M75)</f>
        <v>-920.90733333333333</v>
      </c>
      <c r="O75" s="10">
        <f>INDEX(Financiamento_EV!$O$17:$O$136,A75)</f>
        <v>0</v>
      </c>
      <c r="P75" s="10">
        <f t="shared" si="15"/>
        <v>57813.548984373308</v>
      </c>
    </row>
    <row r="76" spans="1:21">
      <c r="A76">
        <v>66</v>
      </c>
      <c r="B76" s="62">
        <f>INDEX(Financiamento_EV!$B$17:$B$136,A76)</f>
        <v>48245</v>
      </c>
      <c r="C76" s="10">
        <f>INDEX(Financiamento_EV!$G$17:$G$136,A76)</f>
        <v>0</v>
      </c>
      <c r="D76" s="10">
        <f>INDEX(Financiamento_EV!$L$17:$L$136,A76)</f>
        <v>0</v>
      </c>
      <c r="E76" s="10">
        <f>INDEX(Financiamento_EV!$M$17:$M$136,A76)</f>
        <v>0</v>
      </c>
      <c r="F76" s="10">
        <f>INDEX(Financiamento_EV!$N$17:$N$136,A76)</f>
        <v>0</v>
      </c>
      <c r="G76" s="10">
        <f>IF(Comparador_EV!$J$8="","",Comparador_EV!$J$8/12)</f>
        <v>471.63600000000002</v>
      </c>
      <c r="H76" s="10">
        <f>IF(Comparador_EV!$J$12="","",Comparador_EV!$J$12/12)</f>
        <v>64.166666666666671</v>
      </c>
      <c r="I76" s="10">
        <f>IF(Comparador_EV!$J$9="","",Comparador_EV!$J$9/12)</f>
        <v>466.66666666666669</v>
      </c>
      <c r="J76" s="10">
        <f>IF(OR(Comparador_EV!$J$10="",Comparador_EV!$J$11=""),"",(Comparador_EV!$J$10+Comparador_EV!$J$11)/12)</f>
        <v>381.17333333333335</v>
      </c>
      <c r="K76" s="10">
        <f t="shared" si="16"/>
        <v>1383.6426666666669</v>
      </c>
      <c r="L76" s="10">
        <f t="shared" si="17"/>
        <v>1383.6426666666669</v>
      </c>
      <c r="M76" s="10">
        <f>Dashboard!$H$12</f>
        <v>2304.5500000000002</v>
      </c>
      <c r="N76" s="10">
        <f t="shared" si="18"/>
        <v>-920.90733333333333</v>
      </c>
      <c r="O76" s="10">
        <f>INDEX(Financiamento_EV!$O$17:$O$136,A76)</f>
        <v>0</v>
      </c>
      <c r="P76" s="10">
        <f t="shared" ref="P76:P107" si="19">P75+N76</f>
        <v>56892.641651039972</v>
      </c>
    </row>
    <row r="77" spans="1:21">
      <c r="A77">
        <v>67</v>
      </c>
      <c r="B77" s="62">
        <f>INDEX(Financiamento_EV!$B$17:$B$136,A77)</f>
        <v>48274</v>
      </c>
      <c r="C77" s="10">
        <f>INDEX(Financiamento_EV!$G$17:$G$136,A77)</f>
        <v>0</v>
      </c>
      <c r="D77" s="10">
        <f>INDEX(Financiamento_EV!$L$17:$L$136,A77)</f>
        <v>0</v>
      </c>
      <c r="E77" s="10">
        <f>INDEX(Financiamento_EV!$M$17:$M$136,A77)</f>
        <v>0</v>
      </c>
      <c r="F77" s="10">
        <f>INDEX(Financiamento_EV!$N$17:$N$136,A77)</f>
        <v>0</v>
      </c>
      <c r="G77" s="10">
        <f>IF(Comparador_EV!$J$8="","",Comparador_EV!$J$8/12)</f>
        <v>471.63600000000002</v>
      </c>
      <c r="H77" s="10">
        <f>IF(Comparador_EV!$J$12="","",Comparador_EV!$J$12/12)</f>
        <v>64.166666666666671</v>
      </c>
      <c r="I77" s="10">
        <f>IF(Comparador_EV!$J$9="","",Comparador_EV!$J$9/12)</f>
        <v>466.66666666666669</v>
      </c>
      <c r="J77" s="10">
        <f>IF(OR(Comparador_EV!$J$10="",Comparador_EV!$J$11=""),"",(Comparador_EV!$J$10+Comparador_EV!$J$11)/12)</f>
        <v>381.17333333333335</v>
      </c>
      <c r="K77" s="10">
        <f t="shared" si="16"/>
        <v>1383.6426666666669</v>
      </c>
      <c r="L77" s="10">
        <f t="shared" si="17"/>
        <v>1383.6426666666669</v>
      </c>
      <c r="M77" s="10">
        <f>Dashboard!$H$12</f>
        <v>2304.5500000000002</v>
      </c>
      <c r="N77" s="10">
        <f t="shared" si="18"/>
        <v>-920.90733333333333</v>
      </c>
      <c r="O77" s="10">
        <f>INDEX(Financiamento_EV!$O$17:$O$136,A77)</f>
        <v>0</v>
      </c>
      <c r="P77" s="10">
        <f t="shared" si="19"/>
        <v>55971.734317706636</v>
      </c>
    </row>
    <row r="78" spans="1:21">
      <c r="A78">
        <v>68</v>
      </c>
      <c r="B78" s="62">
        <f>INDEX(Financiamento_EV!$B$17:$B$136,A78)</f>
        <v>48305</v>
      </c>
      <c r="C78" s="10">
        <f>INDEX(Financiamento_EV!$G$17:$G$136,A78)</f>
        <v>0</v>
      </c>
      <c r="D78" s="10">
        <f>INDEX(Financiamento_EV!$L$17:$L$136,A78)</f>
        <v>0</v>
      </c>
      <c r="E78" s="10">
        <f>INDEX(Financiamento_EV!$M$17:$M$136,A78)</f>
        <v>0</v>
      </c>
      <c r="F78" s="10">
        <f>INDEX(Financiamento_EV!$N$17:$N$136,A78)</f>
        <v>0</v>
      </c>
      <c r="G78" s="10">
        <f>IF(Comparador_EV!$J$8="","",Comparador_EV!$J$8/12)</f>
        <v>471.63600000000002</v>
      </c>
      <c r="H78" s="10">
        <f>IF(Comparador_EV!$J$12="","",Comparador_EV!$J$12/12)</f>
        <v>64.166666666666671</v>
      </c>
      <c r="I78" s="10">
        <f>IF(Comparador_EV!$J$9="","",Comparador_EV!$J$9/12)</f>
        <v>466.66666666666669</v>
      </c>
      <c r="J78" s="10">
        <f>IF(OR(Comparador_EV!$J$10="",Comparador_EV!$J$11=""),"",(Comparador_EV!$J$10+Comparador_EV!$J$11)/12)</f>
        <v>381.17333333333335</v>
      </c>
      <c r="K78" s="10">
        <f t="shared" si="16"/>
        <v>1383.6426666666669</v>
      </c>
      <c r="L78" s="10">
        <f t="shared" si="17"/>
        <v>1383.6426666666669</v>
      </c>
      <c r="M78" s="10">
        <f>Dashboard!$H$12</f>
        <v>2304.5500000000002</v>
      </c>
      <c r="N78" s="10">
        <f t="shared" si="18"/>
        <v>-920.90733333333333</v>
      </c>
      <c r="O78" s="10">
        <f>INDEX(Financiamento_EV!$O$17:$O$136,A78)</f>
        <v>0</v>
      </c>
      <c r="P78" s="10">
        <f t="shared" si="19"/>
        <v>55050.8269843733</v>
      </c>
    </row>
    <row r="79" spans="1:21">
      <c r="A79">
        <v>69</v>
      </c>
      <c r="B79" s="62">
        <f>INDEX(Financiamento_EV!$B$17:$B$136,A79)</f>
        <v>48335</v>
      </c>
      <c r="C79" s="10">
        <f>INDEX(Financiamento_EV!$G$17:$G$136,A79)</f>
        <v>0</v>
      </c>
      <c r="D79" s="10">
        <f>INDEX(Financiamento_EV!$L$17:$L$136,A79)</f>
        <v>0</v>
      </c>
      <c r="E79" s="10">
        <f>INDEX(Financiamento_EV!$M$17:$M$136,A79)</f>
        <v>0</v>
      </c>
      <c r="F79" s="10">
        <f>INDEX(Financiamento_EV!$N$17:$N$136,A79)</f>
        <v>0</v>
      </c>
      <c r="G79" s="10">
        <f>IF(Comparador_EV!$J$8="","",Comparador_EV!$J$8/12)</f>
        <v>471.63600000000002</v>
      </c>
      <c r="H79" s="10">
        <f>IF(Comparador_EV!$J$12="","",Comparador_EV!$J$12/12)</f>
        <v>64.166666666666671</v>
      </c>
      <c r="I79" s="10">
        <f>IF(Comparador_EV!$J$9="","",Comparador_EV!$J$9/12)</f>
        <v>466.66666666666669</v>
      </c>
      <c r="J79" s="10">
        <f>IF(OR(Comparador_EV!$J$10="",Comparador_EV!$J$11=""),"",(Comparador_EV!$J$10+Comparador_EV!$J$11)/12)</f>
        <v>381.17333333333335</v>
      </c>
      <c r="K79" s="10">
        <f t="shared" si="16"/>
        <v>1383.6426666666669</v>
      </c>
      <c r="L79" s="10">
        <f t="shared" si="17"/>
        <v>1383.6426666666669</v>
      </c>
      <c r="M79" s="10">
        <f>Dashboard!$H$12</f>
        <v>2304.5500000000002</v>
      </c>
      <c r="N79" s="10">
        <f t="shared" si="18"/>
        <v>-920.90733333333333</v>
      </c>
      <c r="O79" s="10">
        <f>INDEX(Financiamento_EV!$O$17:$O$136,A79)</f>
        <v>0</v>
      </c>
      <c r="P79" s="10">
        <f t="shared" si="19"/>
        <v>54129.919651039963</v>
      </c>
    </row>
    <row r="80" spans="1:21">
      <c r="A80">
        <v>70</v>
      </c>
      <c r="B80" s="62">
        <f>INDEX(Financiamento_EV!$B$17:$B$136,A80)</f>
        <v>48366</v>
      </c>
      <c r="C80" s="10">
        <f>INDEX(Financiamento_EV!$G$17:$G$136,A80)</f>
        <v>0</v>
      </c>
      <c r="D80" s="10">
        <f>INDEX(Financiamento_EV!$L$17:$L$136,A80)</f>
        <v>0</v>
      </c>
      <c r="E80" s="10">
        <f>INDEX(Financiamento_EV!$M$17:$M$136,A80)</f>
        <v>0</v>
      </c>
      <c r="F80" s="10">
        <f>INDEX(Financiamento_EV!$N$17:$N$136,A80)</f>
        <v>0</v>
      </c>
      <c r="G80" s="10">
        <f>IF(Comparador_EV!$J$8="","",Comparador_EV!$J$8/12)</f>
        <v>471.63600000000002</v>
      </c>
      <c r="H80" s="10">
        <f>IF(Comparador_EV!$J$12="","",Comparador_EV!$J$12/12)</f>
        <v>64.166666666666671</v>
      </c>
      <c r="I80" s="10">
        <f>IF(Comparador_EV!$J$9="","",Comparador_EV!$J$9/12)</f>
        <v>466.66666666666669</v>
      </c>
      <c r="J80" s="10">
        <f>IF(OR(Comparador_EV!$J$10="",Comparador_EV!$J$11=""),"",(Comparador_EV!$J$10+Comparador_EV!$J$11)/12)</f>
        <v>381.17333333333335</v>
      </c>
      <c r="K80" s="10">
        <f t="shared" si="16"/>
        <v>1383.6426666666669</v>
      </c>
      <c r="L80" s="10">
        <f t="shared" si="17"/>
        <v>1383.6426666666669</v>
      </c>
      <c r="M80" s="10">
        <f>Dashboard!$H$12</f>
        <v>2304.5500000000002</v>
      </c>
      <c r="N80" s="10">
        <f t="shared" si="18"/>
        <v>-920.90733333333333</v>
      </c>
      <c r="O80" s="10">
        <f>INDEX(Financiamento_EV!$O$17:$O$136,A80)</f>
        <v>0</v>
      </c>
      <c r="P80" s="10">
        <f t="shared" si="19"/>
        <v>53209.012317706627</v>
      </c>
    </row>
    <row r="81" spans="1:16">
      <c r="A81">
        <v>71</v>
      </c>
      <c r="B81" s="62">
        <f>INDEX(Financiamento_EV!$B$17:$B$136,A81)</f>
        <v>48396</v>
      </c>
      <c r="C81" s="10">
        <f>INDEX(Financiamento_EV!$G$17:$G$136,A81)</f>
        <v>0</v>
      </c>
      <c r="D81" s="10">
        <f>INDEX(Financiamento_EV!$L$17:$L$136,A81)</f>
        <v>0</v>
      </c>
      <c r="E81" s="10">
        <f>INDEX(Financiamento_EV!$M$17:$M$136,A81)</f>
        <v>0</v>
      </c>
      <c r="F81" s="10">
        <f>INDEX(Financiamento_EV!$N$17:$N$136,A81)</f>
        <v>0</v>
      </c>
      <c r="G81" s="10">
        <f>IF(Comparador_EV!$J$8="","",Comparador_EV!$J$8/12)</f>
        <v>471.63600000000002</v>
      </c>
      <c r="H81" s="10">
        <f>IF(Comparador_EV!$J$12="","",Comparador_EV!$J$12/12)</f>
        <v>64.166666666666671</v>
      </c>
      <c r="I81" s="10">
        <f>IF(Comparador_EV!$J$9="","",Comparador_EV!$J$9/12)</f>
        <v>466.66666666666669</v>
      </c>
      <c r="J81" s="10">
        <f>IF(OR(Comparador_EV!$J$10="",Comparador_EV!$J$11=""),"",(Comparador_EV!$J$10+Comparador_EV!$J$11)/12)</f>
        <v>381.17333333333335</v>
      </c>
      <c r="K81" s="10">
        <f t="shared" si="16"/>
        <v>1383.6426666666669</v>
      </c>
      <c r="L81" s="10">
        <f t="shared" si="17"/>
        <v>1383.6426666666669</v>
      </c>
      <c r="M81" s="10">
        <f>Dashboard!$H$12</f>
        <v>2304.5500000000002</v>
      </c>
      <c r="N81" s="10">
        <f t="shared" si="18"/>
        <v>-920.90733333333333</v>
      </c>
      <c r="O81" s="10">
        <f>INDEX(Financiamento_EV!$O$17:$O$136,A81)</f>
        <v>0</v>
      </c>
      <c r="P81" s="10">
        <f t="shared" si="19"/>
        <v>52288.104984373291</v>
      </c>
    </row>
    <row r="82" spans="1:16">
      <c r="A82">
        <v>72</v>
      </c>
      <c r="B82" s="62">
        <f>INDEX(Financiamento_EV!$B$17:$B$136,A82)</f>
        <v>48427</v>
      </c>
      <c r="C82" s="10">
        <f>INDEX(Financiamento_EV!$G$17:$G$136,A82)</f>
        <v>0</v>
      </c>
      <c r="D82" s="10">
        <f>INDEX(Financiamento_EV!$L$17:$L$136,A82)</f>
        <v>0</v>
      </c>
      <c r="E82" s="10">
        <f>INDEX(Financiamento_EV!$M$17:$M$136,A82)</f>
        <v>0</v>
      </c>
      <c r="F82" s="10">
        <f>INDEX(Financiamento_EV!$N$17:$N$136,A82)</f>
        <v>0</v>
      </c>
      <c r="G82" s="10">
        <f>IF(Comparador_EV!$J$8="","",Comparador_EV!$J$8/12)</f>
        <v>471.63600000000002</v>
      </c>
      <c r="H82" s="10">
        <f>IF(Comparador_EV!$J$12="","",Comparador_EV!$J$12/12)</f>
        <v>64.166666666666671</v>
      </c>
      <c r="I82" s="10">
        <f>IF(Comparador_EV!$J$9="","",Comparador_EV!$J$9/12)</f>
        <v>466.66666666666669</v>
      </c>
      <c r="J82" s="10">
        <f>IF(OR(Comparador_EV!$J$10="",Comparador_EV!$J$11=""),"",(Comparador_EV!$J$10+Comparador_EV!$J$11)/12)</f>
        <v>381.17333333333335</v>
      </c>
      <c r="K82" s="10">
        <f t="shared" si="16"/>
        <v>1383.6426666666669</v>
      </c>
      <c r="L82" s="10">
        <f t="shared" si="17"/>
        <v>1383.6426666666669</v>
      </c>
      <c r="M82" s="10">
        <f>Dashboard!$H$12</f>
        <v>2304.5500000000002</v>
      </c>
      <c r="N82" s="10">
        <f t="shared" si="18"/>
        <v>-920.90733333333333</v>
      </c>
      <c r="O82" s="10">
        <f>INDEX(Financiamento_EV!$O$17:$O$136,A82)</f>
        <v>0</v>
      </c>
      <c r="P82" s="10">
        <f t="shared" si="19"/>
        <v>51367.197651039955</v>
      </c>
    </row>
    <row r="83" spans="1:16">
      <c r="A83">
        <v>73</v>
      </c>
      <c r="B83" s="62">
        <f>INDEX(Financiamento_EV!$B$17:$B$136,A83)</f>
        <v>48458</v>
      </c>
      <c r="C83" s="10">
        <f>INDEX(Financiamento_EV!$G$17:$G$136,A83)</f>
        <v>0</v>
      </c>
      <c r="D83" s="10">
        <f>INDEX(Financiamento_EV!$L$17:$L$136,A83)</f>
        <v>0</v>
      </c>
      <c r="E83" s="10">
        <f>INDEX(Financiamento_EV!$M$17:$M$136,A83)</f>
        <v>0</v>
      </c>
      <c r="F83" s="10">
        <f>INDEX(Financiamento_EV!$N$17:$N$136,A83)</f>
        <v>0</v>
      </c>
      <c r="G83" s="10">
        <f>IF(Comparador_EV!$J$8="","",Comparador_EV!$J$8/12)</f>
        <v>471.63600000000002</v>
      </c>
      <c r="H83" s="10">
        <f>IF(Comparador_EV!$J$12="","",Comparador_EV!$J$12/12)</f>
        <v>64.166666666666671</v>
      </c>
      <c r="I83" s="10">
        <f>IF(Comparador_EV!$J$9="","",Comparador_EV!$J$9/12)</f>
        <v>466.66666666666669</v>
      </c>
      <c r="J83" s="10">
        <f>IF(OR(Comparador_EV!$J$10="",Comparador_EV!$J$11=""),"",(Comparador_EV!$J$10+Comparador_EV!$J$11)/12)</f>
        <v>381.17333333333335</v>
      </c>
      <c r="K83" s="10">
        <f t="shared" si="16"/>
        <v>1383.6426666666669</v>
      </c>
      <c r="L83" s="10">
        <f t="shared" si="17"/>
        <v>1383.6426666666669</v>
      </c>
      <c r="M83" s="10">
        <f>Dashboard!$H$12</f>
        <v>2304.5500000000002</v>
      </c>
      <c r="N83" s="10">
        <f t="shared" si="18"/>
        <v>-920.90733333333333</v>
      </c>
      <c r="O83" s="10">
        <f>INDEX(Financiamento_EV!$O$17:$O$136,A83)</f>
        <v>0</v>
      </c>
      <c r="P83" s="10">
        <f t="shared" si="19"/>
        <v>50446.290317706618</v>
      </c>
    </row>
    <row r="84" spans="1:16">
      <c r="A84">
        <v>74</v>
      </c>
      <c r="B84" s="62">
        <f>INDEX(Financiamento_EV!$B$17:$B$136,A84)</f>
        <v>48488</v>
      </c>
      <c r="C84" s="10">
        <f>INDEX(Financiamento_EV!$G$17:$G$136,A84)</f>
        <v>0</v>
      </c>
      <c r="D84" s="10">
        <f>INDEX(Financiamento_EV!$L$17:$L$136,A84)</f>
        <v>0</v>
      </c>
      <c r="E84" s="10">
        <f>INDEX(Financiamento_EV!$M$17:$M$136,A84)</f>
        <v>0</v>
      </c>
      <c r="F84" s="10">
        <f>INDEX(Financiamento_EV!$N$17:$N$136,A84)</f>
        <v>0</v>
      </c>
      <c r="G84" s="10">
        <f>IF(Comparador_EV!$J$8="","",Comparador_EV!$J$8/12)</f>
        <v>471.63600000000002</v>
      </c>
      <c r="H84" s="10">
        <f>IF(Comparador_EV!$J$12="","",Comparador_EV!$J$12/12)</f>
        <v>64.166666666666671</v>
      </c>
      <c r="I84" s="10">
        <f>IF(Comparador_EV!$J$9="","",Comparador_EV!$J$9/12)</f>
        <v>466.66666666666669</v>
      </c>
      <c r="J84" s="10">
        <f>IF(OR(Comparador_EV!$J$10="",Comparador_EV!$J$11=""),"",(Comparador_EV!$J$10+Comparador_EV!$J$11)/12)</f>
        <v>381.17333333333335</v>
      </c>
      <c r="K84" s="10">
        <f t="shared" si="16"/>
        <v>1383.6426666666669</v>
      </c>
      <c r="L84" s="10">
        <f t="shared" si="17"/>
        <v>1383.6426666666669</v>
      </c>
      <c r="M84" s="10">
        <f>Dashboard!$H$12</f>
        <v>2304.5500000000002</v>
      </c>
      <c r="N84" s="10">
        <f t="shared" si="18"/>
        <v>-920.90733333333333</v>
      </c>
      <c r="O84" s="10">
        <f>INDEX(Financiamento_EV!$O$17:$O$136,A84)</f>
        <v>0</v>
      </c>
      <c r="P84" s="10">
        <f t="shared" si="19"/>
        <v>49525.382984373282</v>
      </c>
    </row>
    <row r="85" spans="1:16">
      <c r="A85">
        <v>75</v>
      </c>
      <c r="B85" s="62">
        <f>INDEX(Financiamento_EV!$B$17:$B$136,A85)</f>
        <v>48519</v>
      </c>
      <c r="C85" s="10">
        <f>INDEX(Financiamento_EV!$G$17:$G$136,A85)</f>
        <v>0</v>
      </c>
      <c r="D85" s="10">
        <f>INDEX(Financiamento_EV!$L$17:$L$136,A85)</f>
        <v>0</v>
      </c>
      <c r="E85" s="10">
        <f>INDEX(Financiamento_EV!$M$17:$M$136,A85)</f>
        <v>0</v>
      </c>
      <c r="F85" s="10">
        <f>INDEX(Financiamento_EV!$N$17:$N$136,A85)</f>
        <v>0</v>
      </c>
      <c r="G85" s="10">
        <f>IF(Comparador_EV!$J$8="","",Comparador_EV!$J$8/12)</f>
        <v>471.63600000000002</v>
      </c>
      <c r="H85" s="10">
        <f>IF(Comparador_EV!$J$12="","",Comparador_EV!$J$12/12)</f>
        <v>64.166666666666671</v>
      </c>
      <c r="I85" s="10">
        <f>IF(Comparador_EV!$J$9="","",Comparador_EV!$J$9/12)</f>
        <v>466.66666666666669</v>
      </c>
      <c r="J85" s="10">
        <f>IF(OR(Comparador_EV!$J$10="",Comparador_EV!$J$11=""),"",(Comparador_EV!$J$10+Comparador_EV!$J$11)/12)</f>
        <v>381.17333333333335</v>
      </c>
      <c r="K85" s="10">
        <f t="shared" si="16"/>
        <v>1383.6426666666669</v>
      </c>
      <c r="L85" s="10">
        <f t="shared" si="17"/>
        <v>1383.6426666666669</v>
      </c>
      <c r="M85" s="10">
        <f>Dashboard!$H$12</f>
        <v>2304.5500000000002</v>
      </c>
      <c r="N85" s="10">
        <f t="shared" si="18"/>
        <v>-920.90733333333333</v>
      </c>
      <c r="O85" s="10">
        <f>INDEX(Financiamento_EV!$O$17:$O$136,A85)</f>
        <v>0</v>
      </c>
      <c r="P85" s="10">
        <f t="shared" si="19"/>
        <v>48604.475651039946</v>
      </c>
    </row>
    <row r="86" spans="1:16">
      <c r="A86">
        <v>76</v>
      </c>
      <c r="B86" s="62">
        <f>INDEX(Financiamento_EV!$B$17:$B$136,A86)</f>
        <v>48549</v>
      </c>
      <c r="C86" s="10">
        <f>INDEX(Financiamento_EV!$G$17:$G$136,A86)</f>
        <v>0</v>
      </c>
      <c r="D86" s="10">
        <f>INDEX(Financiamento_EV!$L$17:$L$136,A86)</f>
        <v>0</v>
      </c>
      <c r="E86" s="10">
        <f>INDEX(Financiamento_EV!$M$17:$M$136,A86)</f>
        <v>0</v>
      </c>
      <c r="F86" s="10">
        <f>INDEX(Financiamento_EV!$N$17:$N$136,A86)</f>
        <v>0</v>
      </c>
      <c r="G86" s="10">
        <f>IF(Comparador_EV!$J$8="","",Comparador_EV!$J$8/12)</f>
        <v>471.63600000000002</v>
      </c>
      <c r="H86" s="10">
        <f>IF(Comparador_EV!$J$12="","",Comparador_EV!$J$12/12)</f>
        <v>64.166666666666671</v>
      </c>
      <c r="I86" s="10">
        <f>IF(Comparador_EV!$J$9="","",Comparador_EV!$J$9/12)</f>
        <v>466.66666666666669</v>
      </c>
      <c r="J86" s="10">
        <f>IF(OR(Comparador_EV!$J$10="",Comparador_EV!$J$11=""),"",(Comparador_EV!$J$10+Comparador_EV!$J$11)/12)</f>
        <v>381.17333333333335</v>
      </c>
      <c r="K86" s="10">
        <f t="shared" si="16"/>
        <v>1383.6426666666669</v>
      </c>
      <c r="L86" s="10">
        <f t="shared" si="17"/>
        <v>1383.6426666666669</v>
      </c>
      <c r="M86" s="10">
        <f>Dashboard!$H$12</f>
        <v>2304.5500000000002</v>
      </c>
      <c r="N86" s="10">
        <f t="shared" si="18"/>
        <v>-920.90733333333333</v>
      </c>
      <c r="O86" s="10">
        <f>INDEX(Financiamento_EV!$O$17:$O$136,A86)</f>
        <v>0</v>
      </c>
      <c r="P86" s="10">
        <f t="shared" si="19"/>
        <v>47683.568317706609</v>
      </c>
    </row>
    <row r="87" spans="1:16">
      <c r="A87">
        <v>77</v>
      </c>
      <c r="B87" s="62">
        <f>INDEX(Financiamento_EV!$B$17:$B$136,A87)</f>
        <v>48580</v>
      </c>
      <c r="C87" s="10">
        <f>INDEX(Financiamento_EV!$G$17:$G$136,A87)</f>
        <v>0</v>
      </c>
      <c r="D87" s="10">
        <f>INDEX(Financiamento_EV!$L$17:$L$136,A87)</f>
        <v>0</v>
      </c>
      <c r="E87" s="10">
        <f>INDEX(Financiamento_EV!$M$17:$M$136,A87)</f>
        <v>0</v>
      </c>
      <c r="F87" s="10">
        <f>INDEX(Financiamento_EV!$N$17:$N$136,A87)</f>
        <v>0</v>
      </c>
      <c r="G87" s="10">
        <f>IF(Comparador_EV!$J$8="","",Comparador_EV!$J$8/12)</f>
        <v>471.63600000000002</v>
      </c>
      <c r="H87" s="10">
        <f>IF(Comparador_EV!$J$12="","",Comparador_EV!$J$12/12)</f>
        <v>64.166666666666671</v>
      </c>
      <c r="I87" s="10">
        <f>IF(Comparador_EV!$J$9="","",Comparador_EV!$J$9/12)</f>
        <v>466.66666666666669</v>
      </c>
      <c r="J87" s="10">
        <f>IF(OR(Comparador_EV!$J$10="",Comparador_EV!$J$11=""),"",(Comparador_EV!$J$10+Comparador_EV!$J$11)/12)</f>
        <v>381.17333333333335</v>
      </c>
      <c r="K87" s="10">
        <f t="shared" si="16"/>
        <v>1383.6426666666669</v>
      </c>
      <c r="L87" s="10">
        <f t="shared" si="17"/>
        <v>1383.6426666666669</v>
      </c>
      <c r="M87" s="10">
        <f>Dashboard!$H$12</f>
        <v>2304.5500000000002</v>
      </c>
      <c r="N87" s="10">
        <f t="shared" si="18"/>
        <v>-920.90733333333333</v>
      </c>
      <c r="O87" s="10">
        <f>INDEX(Financiamento_EV!$O$17:$O$136,A87)</f>
        <v>0</v>
      </c>
      <c r="P87" s="10">
        <f t="shared" si="19"/>
        <v>46762.660984373273</v>
      </c>
    </row>
    <row r="88" spans="1:16">
      <c r="A88">
        <v>78</v>
      </c>
      <c r="B88" s="62">
        <f>INDEX(Financiamento_EV!$B$17:$B$136,A88)</f>
        <v>48611</v>
      </c>
      <c r="C88" s="10">
        <f>INDEX(Financiamento_EV!$G$17:$G$136,A88)</f>
        <v>0</v>
      </c>
      <c r="D88" s="10">
        <f>INDEX(Financiamento_EV!$L$17:$L$136,A88)</f>
        <v>0</v>
      </c>
      <c r="E88" s="10">
        <f>INDEX(Financiamento_EV!$M$17:$M$136,A88)</f>
        <v>0</v>
      </c>
      <c r="F88" s="10">
        <f>INDEX(Financiamento_EV!$N$17:$N$136,A88)</f>
        <v>0</v>
      </c>
      <c r="G88" s="10">
        <f>IF(Comparador_EV!$J$8="","",Comparador_EV!$J$8/12)</f>
        <v>471.63600000000002</v>
      </c>
      <c r="H88" s="10">
        <f>IF(Comparador_EV!$J$12="","",Comparador_EV!$J$12/12)</f>
        <v>64.166666666666671</v>
      </c>
      <c r="I88" s="10">
        <f>IF(Comparador_EV!$J$9="","",Comparador_EV!$J$9/12)</f>
        <v>466.66666666666669</v>
      </c>
      <c r="J88" s="10">
        <f>IF(OR(Comparador_EV!$J$10="",Comparador_EV!$J$11=""),"",(Comparador_EV!$J$10+Comparador_EV!$J$11)/12)</f>
        <v>381.17333333333335</v>
      </c>
      <c r="K88" s="10">
        <f t="shared" si="16"/>
        <v>1383.6426666666669</v>
      </c>
      <c r="L88" s="10">
        <f t="shared" si="17"/>
        <v>1383.6426666666669</v>
      </c>
      <c r="M88" s="10">
        <f>Dashboard!$H$12</f>
        <v>2304.5500000000002</v>
      </c>
      <c r="N88" s="10">
        <f t="shared" si="18"/>
        <v>-920.90733333333333</v>
      </c>
      <c r="O88" s="10">
        <f>INDEX(Financiamento_EV!$O$17:$O$136,A88)</f>
        <v>0</v>
      </c>
      <c r="P88" s="10">
        <f t="shared" si="19"/>
        <v>45841.753651039937</v>
      </c>
    </row>
    <row r="89" spans="1:16">
      <c r="A89">
        <v>79</v>
      </c>
      <c r="B89" s="62">
        <f>INDEX(Financiamento_EV!$B$17:$B$136,A89)</f>
        <v>48639</v>
      </c>
      <c r="C89" s="10">
        <f>INDEX(Financiamento_EV!$G$17:$G$136,A89)</f>
        <v>0</v>
      </c>
      <c r="D89" s="10">
        <f>INDEX(Financiamento_EV!$L$17:$L$136,A89)</f>
        <v>0</v>
      </c>
      <c r="E89" s="10">
        <f>INDEX(Financiamento_EV!$M$17:$M$136,A89)</f>
        <v>0</v>
      </c>
      <c r="F89" s="10">
        <f>INDEX(Financiamento_EV!$N$17:$N$136,A89)</f>
        <v>0</v>
      </c>
      <c r="G89" s="10">
        <f>IF(Comparador_EV!$J$8="","",Comparador_EV!$J$8/12)</f>
        <v>471.63600000000002</v>
      </c>
      <c r="H89" s="10">
        <f>IF(Comparador_EV!$J$12="","",Comparador_EV!$J$12/12)</f>
        <v>64.166666666666671</v>
      </c>
      <c r="I89" s="10">
        <f>IF(Comparador_EV!$J$9="","",Comparador_EV!$J$9/12)</f>
        <v>466.66666666666669</v>
      </c>
      <c r="J89" s="10">
        <f>IF(OR(Comparador_EV!$J$10="",Comparador_EV!$J$11=""),"",(Comparador_EV!$J$10+Comparador_EV!$J$11)/12)</f>
        <v>381.17333333333335</v>
      </c>
      <c r="K89" s="10">
        <f t="shared" si="16"/>
        <v>1383.6426666666669</v>
      </c>
      <c r="L89" s="10">
        <f t="shared" si="17"/>
        <v>1383.6426666666669</v>
      </c>
      <c r="M89" s="10">
        <f>Dashboard!$H$12</f>
        <v>2304.5500000000002</v>
      </c>
      <c r="N89" s="10">
        <f t="shared" si="18"/>
        <v>-920.90733333333333</v>
      </c>
      <c r="O89" s="10">
        <f>INDEX(Financiamento_EV!$O$17:$O$136,A89)</f>
        <v>0</v>
      </c>
      <c r="P89" s="10">
        <f t="shared" si="19"/>
        <v>44920.846317706601</v>
      </c>
    </row>
    <row r="90" spans="1:16">
      <c r="A90">
        <v>80</v>
      </c>
      <c r="B90" s="62">
        <f>INDEX(Financiamento_EV!$B$17:$B$136,A90)</f>
        <v>48670</v>
      </c>
      <c r="C90" s="10">
        <f>INDEX(Financiamento_EV!$G$17:$G$136,A90)</f>
        <v>0</v>
      </c>
      <c r="D90" s="10">
        <f>INDEX(Financiamento_EV!$L$17:$L$136,A90)</f>
        <v>0</v>
      </c>
      <c r="E90" s="10">
        <f>INDEX(Financiamento_EV!$M$17:$M$136,A90)</f>
        <v>0</v>
      </c>
      <c r="F90" s="10">
        <f>INDEX(Financiamento_EV!$N$17:$N$136,A90)</f>
        <v>0</v>
      </c>
      <c r="G90" s="10">
        <f>IF(Comparador_EV!$J$8="","",Comparador_EV!$J$8/12)</f>
        <v>471.63600000000002</v>
      </c>
      <c r="H90" s="10">
        <f>IF(Comparador_EV!$J$12="","",Comparador_EV!$J$12/12)</f>
        <v>64.166666666666671</v>
      </c>
      <c r="I90" s="10">
        <f>IF(Comparador_EV!$J$9="","",Comparador_EV!$J$9/12)</f>
        <v>466.66666666666669</v>
      </c>
      <c r="J90" s="10">
        <f>IF(OR(Comparador_EV!$J$10="",Comparador_EV!$J$11=""),"",(Comparador_EV!$J$10+Comparador_EV!$J$11)/12)</f>
        <v>381.17333333333335</v>
      </c>
      <c r="K90" s="10">
        <f t="shared" si="16"/>
        <v>1383.6426666666669</v>
      </c>
      <c r="L90" s="10">
        <f t="shared" si="17"/>
        <v>1383.6426666666669</v>
      </c>
      <c r="M90" s="10">
        <f>Dashboard!$H$12</f>
        <v>2304.5500000000002</v>
      </c>
      <c r="N90" s="10">
        <f t="shared" si="18"/>
        <v>-920.90733333333333</v>
      </c>
      <c r="O90" s="10">
        <f>INDEX(Financiamento_EV!$O$17:$O$136,A90)</f>
        <v>0</v>
      </c>
      <c r="P90" s="10">
        <f t="shared" si="19"/>
        <v>43999.938984373264</v>
      </c>
    </row>
    <row r="91" spans="1:16">
      <c r="A91">
        <v>81</v>
      </c>
      <c r="B91" s="62">
        <f>INDEX(Financiamento_EV!$B$17:$B$136,A91)</f>
        <v>48700</v>
      </c>
      <c r="C91" s="10">
        <f>INDEX(Financiamento_EV!$G$17:$G$136,A91)</f>
        <v>0</v>
      </c>
      <c r="D91" s="10">
        <f>INDEX(Financiamento_EV!$L$17:$L$136,A91)</f>
        <v>0</v>
      </c>
      <c r="E91" s="10">
        <f>INDEX(Financiamento_EV!$M$17:$M$136,A91)</f>
        <v>0</v>
      </c>
      <c r="F91" s="10">
        <f>INDEX(Financiamento_EV!$N$17:$N$136,A91)</f>
        <v>0</v>
      </c>
      <c r="G91" s="10">
        <f>IF(Comparador_EV!$J$8="","",Comparador_EV!$J$8/12)</f>
        <v>471.63600000000002</v>
      </c>
      <c r="H91" s="10">
        <f>IF(Comparador_EV!$J$12="","",Comparador_EV!$J$12/12)</f>
        <v>64.166666666666671</v>
      </c>
      <c r="I91" s="10">
        <f>IF(Comparador_EV!$J$9="","",Comparador_EV!$J$9/12)</f>
        <v>466.66666666666669</v>
      </c>
      <c r="J91" s="10">
        <f>IF(OR(Comparador_EV!$J$10="",Comparador_EV!$J$11=""),"",(Comparador_EV!$J$10+Comparador_EV!$J$11)/12)</f>
        <v>381.17333333333335</v>
      </c>
      <c r="K91" s="10">
        <f t="shared" si="16"/>
        <v>1383.6426666666669</v>
      </c>
      <c r="L91" s="10">
        <f t="shared" si="17"/>
        <v>1383.6426666666669</v>
      </c>
      <c r="M91" s="10">
        <f>Dashboard!$H$12</f>
        <v>2304.5500000000002</v>
      </c>
      <c r="N91" s="10">
        <f t="shared" si="18"/>
        <v>-920.90733333333333</v>
      </c>
      <c r="O91" s="10">
        <f>INDEX(Financiamento_EV!$O$17:$O$136,A91)</f>
        <v>0</v>
      </c>
      <c r="P91" s="10">
        <f t="shared" si="19"/>
        <v>43079.031651039928</v>
      </c>
    </row>
    <row r="92" spans="1:16">
      <c r="A92">
        <v>82</v>
      </c>
      <c r="B92" s="62">
        <f>INDEX(Financiamento_EV!$B$17:$B$136,A92)</f>
        <v>48731</v>
      </c>
      <c r="C92" s="10">
        <f>INDEX(Financiamento_EV!$G$17:$G$136,A92)</f>
        <v>0</v>
      </c>
      <c r="D92" s="10">
        <f>INDEX(Financiamento_EV!$L$17:$L$136,A92)</f>
        <v>0</v>
      </c>
      <c r="E92" s="10">
        <f>INDEX(Financiamento_EV!$M$17:$M$136,A92)</f>
        <v>0</v>
      </c>
      <c r="F92" s="10">
        <f>INDEX(Financiamento_EV!$N$17:$N$136,A92)</f>
        <v>0</v>
      </c>
      <c r="G92" s="10">
        <f>IF(Comparador_EV!$J$8="","",Comparador_EV!$J$8/12)</f>
        <v>471.63600000000002</v>
      </c>
      <c r="H92" s="10">
        <f>IF(Comparador_EV!$J$12="","",Comparador_EV!$J$12/12)</f>
        <v>64.166666666666671</v>
      </c>
      <c r="I92" s="10">
        <f>IF(Comparador_EV!$J$9="","",Comparador_EV!$J$9/12)</f>
        <v>466.66666666666669</v>
      </c>
      <c r="J92" s="10">
        <f>IF(OR(Comparador_EV!$J$10="",Comparador_EV!$J$11=""),"",(Comparador_EV!$J$10+Comparador_EV!$J$11)/12)</f>
        <v>381.17333333333335</v>
      </c>
      <c r="K92" s="10">
        <f t="shared" si="16"/>
        <v>1383.6426666666669</v>
      </c>
      <c r="L92" s="10">
        <f t="shared" si="17"/>
        <v>1383.6426666666669</v>
      </c>
      <c r="M92" s="10">
        <f>Dashboard!$H$12</f>
        <v>2304.5500000000002</v>
      </c>
      <c r="N92" s="10">
        <f t="shared" si="18"/>
        <v>-920.90733333333333</v>
      </c>
      <c r="O92" s="10">
        <f>INDEX(Financiamento_EV!$O$17:$O$136,A92)</f>
        <v>0</v>
      </c>
      <c r="P92" s="10">
        <f t="shared" si="19"/>
        <v>42158.124317706592</v>
      </c>
    </row>
    <row r="93" spans="1:16">
      <c r="A93">
        <v>83</v>
      </c>
      <c r="B93" s="62">
        <f>INDEX(Financiamento_EV!$B$17:$B$136,A93)</f>
        <v>48761</v>
      </c>
      <c r="C93" s="10">
        <f>INDEX(Financiamento_EV!$G$17:$G$136,A93)</f>
        <v>0</v>
      </c>
      <c r="D93" s="10">
        <f>INDEX(Financiamento_EV!$L$17:$L$136,A93)</f>
        <v>0</v>
      </c>
      <c r="E93" s="10">
        <f>INDEX(Financiamento_EV!$M$17:$M$136,A93)</f>
        <v>0</v>
      </c>
      <c r="F93" s="10">
        <f>INDEX(Financiamento_EV!$N$17:$N$136,A93)</f>
        <v>0</v>
      </c>
      <c r="G93" s="10">
        <f>IF(Comparador_EV!$J$8="","",Comparador_EV!$J$8/12)</f>
        <v>471.63600000000002</v>
      </c>
      <c r="H93" s="10">
        <f>IF(Comparador_EV!$J$12="","",Comparador_EV!$J$12/12)</f>
        <v>64.166666666666671</v>
      </c>
      <c r="I93" s="10">
        <f>IF(Comparador_EV!$J$9="","",Comparador_EV!$J$9/12)</f>
        <v>466.66666666666669</v>
      </c>
      <c r="J93" s="10">
        <f>IF(OR(Comparador_EV!$J$10="",Comparador_EV!$J$11=""),"",(Comparador_EV!$J$10+Comparador_EV!$J$11)/12)</f>
        <v>381.17333333333335</v>
      </c>
      <c r="K93" s="10">
        <f t="shared" si="16"/>
        <v>1383.6426666666669</v>
      </c>
      <c r="L93" s="10">
        <f t="shared" si="17"/>
        <v>1383.6426666666669</v>
      </c>
      <c r="M93" s="10">
        <f>Dashboard!$H$12</f>
        <v>2304.5500000000002</v>
      </c>
      <c r="N93" s="10">
        <f t="shared" si="18"/>
        <v>-920.90733333333333</v>
      </c>
      <c r="O93" s="10">
        <f>INDEX(Financiamento_EV!$O$17:$O$136,A93)</f>
        <v>0</v>
      </c>
      <c r="P93" s="10">
        <f t="shared" si="19"/>
        <v>41237.216984373255</v>
      </c>
    </row>
    <row r="94" spans="1:16">
      <c r="A94">
        <v>84</v>
      </c>
      <c r="B94" s="62">
        <f>INDEX(Financiamento_EV!$B$17:$B$136,A94)</f>
        <v>48792</v>
      </c>
      <c r="C94" s="10">
        <f>INDEX(Financiamento_EV!$G$17:$G$136,A94)</f>
        <v>0</v>
      </c>
      <c r="D94" s="10">
        <f>INDEX(Financiamento_EV!$L$17:$L$136,A94)</f>
        <v>0</v>
      </c>
      <c r="E94" s="10">
        <f>INDEX(Financiamento_EV!$M$17:$M$136,A94)</f>
        <v>0</v>
      </c>
      <c r="F94" s="10">
        <f>INDEX(Financiamento_EV!$N$17:$N$136,A94)</f>
        <v>0</v>
      </c>
      <c r="G94" s="10">
        <f>IF(Comparador_EV!$J$8="","",Comparador_EV!$J$8/12)</f>
        <v>471.63600000000002</v>
      </c>
      <c r="H94" s="10">
        <f>IF(Comparador_EV!$J$12="","",Comparador_EV!$J$12/12)</f>
        <v>64.166666666666671</v>
      </c>
      <c r="I94" s="10">
        <f>IF(Comparador_EV!$J$9="","",Comparador_EV!$J$9/12)</f>
        <v>466.66666666666669</v>
      </c>
      <c r="J94" s="10">
        <f>IF(OR(Comparador_EV!$J$10="",Comparador_EV!$J$11=""),"",(Comparador_EV!$J$10+Comparador_EV!$J$11)/12)</f>
        <v>381.17333333333335</v>
      </c>
      <c r="K94" s="10">
        <f t="shared" si="16"/>
        <v>1383.6426666666669</v>
      </c>
      <c r="L94" s="10">
        <f t="shared" si="17"/>
        <v>1383.6426666666669</v>
      </c>
      <c r="M94" s="10">
        <f>Dashboard!$H$12</f>
        <v>2304.5500000000002</v>
      </c>
      <c r="N94" s="10">
        <f t="shared" si="18"/>
        <v>-920.90733333333333</v>
      </c>
      <c r="O94" s="10">
        <f>INDEX(Financiamento_EV!$O$17:$O$136,A94)</f>
        <v>0</v>
      </c>
      <c r="P94" s="10">
        <f t="shared" si="19"/>
        <v>40316.309651039919</v>
      </c>
    </row>
    <row r="95" spans="1:16">
      <c r="A95">
        <v>85</v>
      </c>
      <c r="B95" s="62">
        <f>INDEX(Financiamento_EV!$B$17:$B$136,A95)</f>
        <v>48823</v>
      </c>
      <c r="C95" s="10">
        <f>INDEX(Financiamento_EV!$G$17:$G$136,A95)</f>
        <v>0</v>
      </c>
      <c r="D95" s="10">
        <f>INDEX(Financiamento_EV!$L$17:$L$136,A95)</f>
        <v>0</v>
      </c>
      <c r="E95" s="10">
        <f>INDEX(Financiamento_EV!$M$17:$M$136,A95)</f>
        <v>0</v>
      </c>
      <c r="F95" s="10">
        <f>INDEX(Financiamento_EV!$N$17:$N$136,A95)</f>
        <v>0</v>
      </c>
      <c r="G95" s="10">
        <f>IF(Comparador_EV!$J$8="","",Comparador_EV!$J$8/12)</f>
        <v>471.63600000000002</v>
      </c>
      <c r="H95" s="10">
        <f>IF(Comparador_EV!$J$12="","",Comparador_EV!$J$12/12)</f>
        <v>64.166666666666671</v>
      </c>
      <c r="I95" s="10">
        <f>IF(Comparador_EV!$J$9="","",Comparador_EV!$J$9/12)</f>
        <v>466.66666666666669</v>
      </c>
      <c r="J95" s="10">
        <f>IF(OR(Comparador_EV!$J$10="",Comparador_EV!$J$11=""),"",(Comparador_EV!$J$10+Comparador_EV!$J$11)/12)</f>
        <v>381.17333333333335</v>
      </c>
      <c r="K95" s="10">
        <f t="shared" si="16"/>
        <v>1383.6426666666669</v>
      </c>
      <c r="L95" s="10">
        <f t="shared" si="17"/>
        <v>1383.6426666666669</v>
      </c>
      <c r="M95" s="10">
        <f>Dashboard!$H$12</f>
        <v>2304.5500000000002</v>
      </c>
      <c r="N95" s="10">
        <f t="shared" si="18"/>
        <v>-920.90733333333333</v>
      </c>
      <c r="O95" s="10">
        <f>INDEX(Financiamento_EV!$O$17:$O$136,A95)</f>
        <v>0</v>
      </c>
      <c r="P95" s="10">
        <f t="shared" si="19"/>
        <v>39395.402317706583</v>
      </c>
    </row>
    <row r="96" spans="1:16">
      <c r="A96">
        <v>86</v>
      </c>
      <c r="B96" s="62">
        <f>INDEX(Financiamento_EV!$B$17:$B$136,A96)</f>
        <v>48853</v>
      </c>
      <c r="C96" s="10">
        <f>INDEX(Financiamento_EV!$G$17:$G$136,A96)</f>
        <v>0</v>
      </c>
      <c r="D96" s="10">
        <f>INDEX(Financiamento_EV!$L$17:$L$136,A96)</f>
        <v>0</v>
      </c>
      <c r="E96" s="10">
        <f>INDEX(Financiamento_EV!$M$17:$M$136,A96)</f>
        <v>0</v>
      </c>
      <c r="F96" s="10">
        <f>INDEX(Financiamento_EV!$N$17:$N$136,A96)</f>
        <v>0</v>
      </c>
      <c r="G96" s="10">
        <f>IF(Comparador_EV!$J$8="","",Comparador_EV!$J$8/12)</f>
        <v>471.63600000000002</v>
      </c>
      <c r="H96" s="10">
        <f>IF(Comparador_EV!$J$12="","",Comparador_EV!$J$12/12)</f>
        <v>64.166666666666671</v>
      </c>
      <c r="I96" s="10">
        <f>IF(Comparador_EV!$J$9="","",Comparador_EV!$J$9/12)</f>
        <v>466.66666666666669</v>
      </c>
      <c r="J96" s="10">
        <f>IF(OR(Comparador_EV!$J$10="",Comparador_EV!$J$11=""),"",(Comparador_EV!$J$10+Comparador_EV!$J$11)/12)</f>
        <v>381.17333333333335</v>
      </c>
      <c r="K96" s="10">
        <f t="shared" si="16"/>
        <v>1383.6426666666669</v>
      </c>
      <c r="L96" s="10">
        <f t="shared" si="17"/>
        <v>1383.6426666666669</v>
      </c>
      <c r="M96" s="10">
        <f>Dashboard!$H$12</f>
        <v>2304.5500000000002</v>
      </c>
      <c r="N96" s="10">
        <f t="shared" si="18"/>
        <v>-920.90733333333333</v>
      </c>
      <c r="O96" s="10">
        <f>INDEX(Financiamento_EV!$O$17:$O$136,A96)</f>
        <v>0</v>
      </c>
      <c r="P96" s="10">
        <f t="shared" si="19"/>
        <v>38474.494984373247</v>
      </c>
    </row>
    <row r="97" spans="1:16">
      <c r="A97">
        <v>87</v>
      </c>
      <c r="B97" s="62">
        <f>INDEX(Financiamento_EV!$B$17:$B$136,A97)</f>
        <v>48884</v>
      </c>
      <c r="C97" s="10">
        <f>INDEX(Financiamento_EV!$G$17:$G$136,A97)</f>
        <v>0</v>
      </c>
      <c r="D97" s="10">
        <f>INDEX(Financiamento_EV!$L$17:$L$136,A97)</f>
        <v>0</v>
      </c>
      <c r="E97" s="10">
        <f>INDEX(Financiamento_EV!$M$17:$M$136,A97)</f>
        <v>0</v>
      </c>
      <c r="F97" s="10">
        <f>INDEX(Financiamento_EV!$N$17:$N$136,A97)</f>
        <v>0</v>
      </c>
      <c r="G97" s="10">
        <f>IF(Comparador_EV!$J$8="","",Comparador_EV!$J$8/12)</f>
        <v>471.63600000000002</v>
      </c>
      <c r="H97" s="10">
        <f>IF(Comparador_EV!$J$12="","",Comparador_EV!$J$12/12)</f>
        <v>64.166666666666671</v>
      </c>
      <c r="I97" s="10">
        <f>IF(Comparador_EV!$J$9="","",Comparador_EV!$J$9/12)</f>
        <v>466.66666666666669</v>
      </c>
      <c r="J97" s="10">
        <f>IF(OR(Comparador_EV!$J$10="",Comparador_EV!$J$11=""),"",(Comparador_EV!$J$10+Comparador_EV!$J$11)/12)</f>
        <v>381.17333333333335</v>
      </c>
      <c r="K97" s="10">
        <f t="shared" si="16"/>
        <v>1383.6426666666669</v>
      </c>
      <c r="L97" s="10">
        <f t="shared" si="17"/>
        <v>1383.6426666666669</v>
      </c>
      <c r="M97" s="10">
        <f>Dashboard!$H$12</f>
        <v>2304.5500000000002</v>
      </c>
      <c r="N97" s="10">
        <f t="shared" si="18"/>
        <v>-920.90733333333333</v>
      </c>
      <c r="O97" s="10">
        <f>INDEX(Financiamento_EV!$O$17:$O$136,A97)</f>
        <v>0</v>
      </c>
      <c r="P97" s="10">
        <f t="shared" si="19"/>
        <v>37553.58765103991</v>
      </c>
    </row>
    <row r="98" spans="1:16">
      <c r="A98">
        <v>88</v>
      </c>
      <c r="B98" s="62">
        <f>INDEX(Financiamento_EV!$B$17:$B$136,A98)</f>
        <v>48914</v>
      </c>
      <c r="C98" s="10">
        <f>INDEX(Financiamento_EV!$G$17:$G$136,A98)</f>
        <v>0</v>
      </c>
      <c r="D98" s="10">
        <f>INDEX(Financiamento_EV!$L$17:$L$136,A98)</f>
        <v>0</v>
      </c>
      <c r="E98" s="10">
        <f>INDEX(Financiamento_EV!$M$17:$M$136,A98)</f>
        <v>0</v>
      </c>
      <c r="F98" s="10">
        <f>INDEX(Financiamento_EV!$N$17:$N$136,A98)</f>
        <v>0</v>
      </c>
      <c r="G98" s="10">
        <f>IF(Comparador_EV!$J$8="","",Comparador_EV!$J$8/12)</f>
        <v>471.63600000000002</v>
      </c>
      <c r="H98" s="10">
        <f>IF(Comparador_EV!$J$12="","",Comparador_EV!$J$12/12)</f>
        <v>64.166666666666671</v>
      </c>
      <c r="I98" s="10">
        <f>IF(Comparador_EV!$J$9="","",Comparador_EV!$J$9/12)</f>
        <v>466.66666666666669</v>
      </c>
      <c r="J98" s="10">
        <f>IF(OR(Comparador_EV!$J$10="",Comparador_EV!$J$11=""),"",(Comparador_EV!$J$10+Comparador_EV!$J$11)/12)</f>
        <v>381.17333333333335</v>
      </c>
      <c r="K98" s="10">
        <f t="shared" si="16"/>
        <v>1383.6426666666669</v>
      </c>
      <c r="L98" s="10">
        <f t="shared" si="17"/>
        <v>1383.6426666666669</v>
      </c>
      <c r="M98" s="10">
        <f>Dashboard!$H$12</f>
        <v>2304.5500000000002</v>
      </c>
      <c r="N98" s="10">
        <f t="shared" si="18"/>
        <v>-920.90733333333333</v>
      </c>
      <c r="O98" s="10">
        <f>INDEX(Financiamento_EV!$O$17:$O$136,A98)</f>
        <v>0</v>
      </c>
      <c r="P98" s="10">
        <f t="shared" si="19"/>
        <v>36632.680317706574</v>
      </c>
    </row>
    <row r="99" spans="1:16">
      <c r="A99">
        <v>89</v>
      </c>
      <c r="B99" s="62">
        <f>INDEX(Financiamento_EV!$B$17:$B$136,A99)</f>
        <v>48945</v>
      </c>
      <c r="C99" s="10">
        <f>INDEX(Financiamento_EV!$G$17:$G$136,A99)</f>
        <v>0</v>
      </c>
      <c r="D99" s="10">
        <f>INDEX(Financiamento_EV!$L$17:$L$136,A99)</f>
        <v>0</v>
      </c>
      <c r="E99" s="10">
        <f>INDEX(Financiamento_EV!$M$17:$M$136,A99)</f>
        <v>0</v>
      </c>
      <c r="F99" s="10">
        <f>INDEX(Financiamento_EV!$N$17:$N$136,A99)</f>
        <v>0</v>
      </c>
      <c r="G99" s="10">
        <f>IF(Comparador_EV!$J$8="","",Comparador_EV!$J$8/12)</f>
        <v>471.63600000000002</v>
      </c>
      <c r="H99" s="10">
        <f>IF(Comparador_EV!$J$12="","",Comparador_EV!$J$12/12)</f>
        <v>64.166666666666671</v>
      </c>
      <c r="I99" s="10">
        <f>IF(Comparador_EV!$J$9="","",Comparador_EV!$J$9/12)</f>
        <v>466.66666666666669</v>
      </c>
      <c r="J99" s="10">
        <f>IF(OR(Comparador_EV!$J$10="",Comparador_EV!$J$11=""),"",(Comparador_EV!$J$10+Comparador_EV!$J$11)/12)</f>
        <v>381.17333333333335</v>
      </c>
      <c r="K99" s="10">
        <f t="shared" si="16"/>
        <v>1383.6426666666669</v>
      </c>
      <c r="L99" s="10">
        <f t="shared" si="17"/>
        <v>1383.6426666666669</v>
      </c>
      <c r="M99" s="10">
        <f>Dashboard!$H$12</f>
        <v>2304.5500000000002</v>
      </c>
      <c r="N99" s="10">
        <f t="shared" si="18"/>
        <v>-920.90733333333333</v>
      </c>
      <c r="O99" s="10">
        <f>INDEX(Financiamento_EV!$O$17:$O$136,A99)</f>
        <v>0</v>
      </c>
      <c r="P99" s="10">
        <f t="shared" si="19"/>
        <v>35711.772984373238</v>
      </c>
    </row>
    <row r="100" spans="1:16">
      <c r="A100">
        <v>90</v>
      </c>
      <c r="B100" s="62">
        <f>INDEX(Financiamento_EV!$B$17:$B$136,A100)</f>
        <v>48976</v>
      </c>
      <c r="C100" s="10">
        <f>INDEX(Financiamento_EV!$G$17:$G$136,A100)</f>
        <v>0</v>
      </c>
      <c r="D100" s="10">
        <f>INDEX(Financiamento_EV!$L$17:$L$136,A100)</f>
        <v>0</v>
      </c>
      <c r="E100" s="10">
        <f>INDEX(Financiamento_EV!$M$17:$M$136,A100)</f>
        <v>0</v>
      </c>
      <c r="F100" s="10">
        <f>INDEX(Financiamento_EV!$N$17:$N$136,A100)</f>
        <v>0</v>
      </c>
      <c r="G100" s="10">
        <f>IF(Comparador_EV!$J$8="","",Comparador_EV!$J$8/12)</f>
        <v>471.63600000000002</v>
      </c>
      <c r="H100" s="10">
        <f>IF(Comparador_EV!$J$12="","",Comparador_EV!$J$12/12)</f>
        <v>64.166666666666671</v>
      </c>
      <c r="I100" s="10">
        <f>IF(Comparador_EV!$J$9="","",Comparador_EV!$J$9/12)</f>
        <v>466.66666666666669</v>
      </c>
      <c r="J100" s="10">
        <f>IF(OR(Comparador_EV!$J$10="",Comparador_EV!$J$11=""),"",(Comparador_EV!$J$10+Comparador_EV!$J$11)/12)</f>
        <v>381.17333333333335</v>
      </c>
      <c r="K100" s="10">
        <f t="shared" si="16"/>
        <v>1383.6426666666669</v>
      </c>
      <c r="L100" s="10">
        <f t="shared" si="17"/>
        <v>1383.6426666666669</v>
      </c>
      <c r="M100" s="10">
        <f>Dashboard!$H$12</f>
        <v>2304.5500000000002</v>
      </c>
      <c r="N100" s="10">
        <f t="shared" si="18"/>
        <v>-920.90733333333333</v>
      </c>
      <c r="O100" s="10">
        <f>INDEX(Financiamento_EV!$O$17:$O$136,A100)</f>
        <v>0</v>
      </c>
      <c r="P100" s="10">
        <f t="shared" si="19"/>
        <v>34790.865651039901</v>
      </c>
    </row>
    <row r="101" spans="1:16">
      <c r="A101">
        <v>91</v>
      </c>
      <c r="B101" s="62">
        <f>INDEX(Financiamento_EV!$B$17:$B$136,A101)</f>
        <v>49004</v>
      </c>
      <c r="C101" s="10">
        <f>INDEX(Financiamento_EV!$G$17:$G$136,A101)</f>
        <v>0</v>
      </c>
      <c r="D101" s="10">
        <f>INDEX(Financiamento_EV!$L$17:$L$136,A101)</f>
        <v>0</v>
      </c>
      <c r="E101" s="10">
        <f>INDEX(Financiamento_EV!$M$17:$M$136,A101)</f>
        <v>0</v>
      </c>
      <c r="F101" s="10">
        <f>INDEX(Financiamento_EV!$N$17:$N$136,A101)</f>
        <v>0</v>
      </c>
      <c r="G101" s="10">
        <f>IF(Comparador_EV!$J$8="","",Comparador_EV!$J$8/12)</f>
        <v>471.63600000000002</v>
      </c>
      <c r="H101" s="10">
        <f>IF(Comparador_EV!$J$12="","",Comparador_EV!$J$12/12)</f>
        <v>64.166666666666671</v>
      </c>
      <c r="I101" s="10">
        <f>IF(Comparador_EV!$J$9="","",Comparador_EV!$J$9/12)</f>
        <v>466.66666666666669</v>
      </c>
      <c r="J101" s="10">
        <f>IF(OR(Comparador_EV!$J$10="",Comparador_EV!$J$11=""),"",(Comparador_EV!$J$10+Comparador_EV!$J$11)/12)</f>
        <v>381.17333333333335</v>
      </c>
      <c r="K101" s="10">
        <f t="shared" si="16"/>
        <v>1383.6426666666669</v>
      </c>
      <c r="L101" s="10">
        <f t="shared" si="17"/>
        <v>1383.6426666666669</v>
      </c>
      <c r="M101" s="10">
        <f>Dashboard!$H$12</f>
        <v>2304.5500000000002</v>
      </c>
      <c r="N101" s="10">
        <f t="shared" si="18"/>
        <v>-920.90733333333333</v>
      </c>
      <c r="O101" s="10">
        <f>INDEX(Financiamento_EV!$O$17:$O$136,A101)</f>
        <v>0</v>
      </c>
      <c r="P101" s="10">
        <f t="shared" si="19"/>
        <v>33869.958317706565</v>
      </c>
    </row>
    <row r="102" spans="1:16">
      <c r="A102">
        <v>92</v>
      </c>
      <c r="B102" s="62">
        <f>INDEX(Financiamento_EV!$B$17:$B$136,A102)</f>
        <v>49035</v>
      </c>
      <c r="C102" s="10">
        <f>INDEX(Financiamento_EV!$G$17:$G$136,A102)</f>
        <v>0</v>
      </c>
      <c r="D102" s="10">
        <f>INDEX(Financiamento_EV!$L$17:$L$136,A102)</f>
        <v>0</v>
      </c>
      <c r="E102" s="10">
        <f>INDEX(Financiamento_EV!$M$17:$M$136,A102)</f>
        <v>0</v>
      </c>
      <c r="F102" s="10">
        <f>INDEX(Financiamento_EV!$N$17:$N$136,A102)</f>
        <v>0</v>
      </c>
      <c r="G102" s="10">
        <f>IF(Comparador_EV!$J$8="","",Comparador_EV!$J$8/12)</f>
        <v>471.63600000000002</v>
      </c>
      <c r="H102" s="10">
        <f>IF(Comparador_EV!$J$12="","",Comparador_EV!$J$12/12)</f>
        <v>64.166666666666671</v>
      </c>
      <c r="I102" s="10">
        <f>IF(Comparador_EV!$J$9="","",Comparador_EV!$J$9/12)</f>
        <v>466.66666666666669</v>
      </c>
      <c r="J102" s="10">
        <f>IF(OR(Comparador_EV!$J$10="",Comparador_EV!$J$11=""),"",(Comparador_EV!$J$10+Comparador_EV!$J$11)/12)</f>
        <v>381.17333333333335</v>
      </c>
      <c r="K102" s="10">
        <f t="shared" si="16"/>
        <v>1383.6426666666669</v>
      </c>
      <c r="L102" s="10">
        <f t="shared" si="17"/>
        <v>1383.6426666666669</v>
      </c>
      <c r="M102" s="10">
        <f>Dashboard!$H$12</f>
        <v>2304.5500000000002</v>
      </c>
      <c r="N102" s="10">
        <f t="shared" si="18"/>
        <v>-920.90733333333333</v>
      </c>
      <c r="O102" s="10">
        <f>INDEX(Financiamento_EV!$O$17:$O$136,A102)</f>
        <v>0</v>
      </c>
      <c r="P102" s="10">
        <f t="shared" si="19"/>
        <v>32949.050984373229</v>
      </c>
    </row>
    <row r="103" spans="1:16">
      <c r="A103">
        <v>93</v>
      </c>
      <c r="B103" s="62">
        <f>INDEX(Financiamento_EV!$B$17:$B$136,A103)</f>
        <v>49065</v>
      </c>
      <c r="C103" s="10">
        <f>INDEX(Financiamento_EV!$G$17:$G$136,A103)</f>
        <v>0</v>
      </c>
      <c r="D103" s="10">
        <f>INDEX(Financiamento_EV!$L$17:$L$136,A103)</f>
        <v>0</v>
      </c>
      <c r="E103" s="10">
        <f>INDEX(Financiamento_EV!$M$17:$M$136,A103)</f>
        <v>0</v>
      </c>
      <c r="F103" s="10">
        <f>INDEX(Financiamento_EV!$N$17:$N$136,A103)</f>
        <v>0</v>
      </c>
      <c r="G103" s="10">
        <f>IF(Comparador_EV!$J$8="","",Comparador_EV!$J$8/12)</f>
        <v>471.63600000000002</v>
      </c>
      <c r="H103" s="10">
        <f>IF(Comparador_EV!$J$12="","",Comparador_EV!$J$12/12)</f>
        <v>64.166666666666671</v>
      </c>
      <c r="I103" s="10">
        <f>IF(Comparador_EV!$J$9="","",Comparador_EV!$J$9/12)</f>
        <v>466.66666666666669</v>
      </c>
      <c r="J103" s="10">
        <f>IF(OR(Comparador_EV!$J$10="",Comparador_EV!$J$11=""),"",(Comparador_EV!$J$10+Comparador_EV!$J$11)/12)</f>
        <v>381.17333333333335</v>
      </c>
      <c r="K103" s="10">
        <f t="shared" si="16"/>
        <v>1383.6426666666669</v>
      </c>
      <c r="L103" s="10">
        <f t="shared" si="17"/>
        <v>1383.6426666666669</v>
      </c>
      <c r="M103" s="10">
        <f>Dashboard!$H$12</f>
        <v>2304.5500000000002</v>
      </c>
      <c r="N103" s="10">
        <f t="shared" si="18"/>
        <v>-920.90733333333333</v>
      </c>
      <c r="O103" s="10">
        <f>INDEX(Financiamento_EV!$O$17:$O$136,A103)</f>
        <v>0</v>
      </c>
      <c r="P103" s="10">
        <f t="shared" si="19"/>
        <v>32028.143651039896</v>
      </c>
    </row>
    <row r="104" spans="1:16">
      <c r="A104">
        <v>94</v>
      </c>
      <c r="B104" s="62">
        <f>INDEX(Financiamento_EV!$B$17:$B$136,A104)</f>
        <v>49096</v>
      </c>
      <c r="C104" s="10">
        <f>INDEX(Financiamento_EV!$G$17:$G$136,A104)</f>
        <v>0</v>
      </c>
      <c r="D104" s="10">
        <f>INDEX(Financiamento_EV!$L$17:$L$136,A104)</f>
        <v>0</v>
      </c>
      <c r="E104" s="10">
        <f>INDEX(Financiamento_EV!$M$17:$M$136,A104)</f>
        <v>0</v>
      </c>
      <c r="F104" s="10">
        <f>INDEX(Financiamento_EV!$N$17:$N$136,A104)</f>
        <v>0</v>
      </c>
      <c r="G104" s="10">
        <f>IF(Comparador_EV!$J$8="","",Comparador_EV!$J$8/12)</f>
        <v>471.63600000000002</v>
      </c>
      <c r="H104" s="10">
        <f>IF(Comparador_EV!$J$12="","",Comparador_EV!$J$12/12)</f>
        <v>64.166666666666671</v>
      </c>
      <c r="I104" s="10">
        <f>IF(Comparador_EV!$J$9="","",Comparador_EV!$J$9/12)</f>
        <v>466.66666666666669</v>
      </c>
      <c r="J104" s="10">
        <f>IF(OR(Comparador_EV!$J$10="",Comparador_EV!$J$11=""),"",(Comparador_EV!$J$10+Comparador_EV!$J$11)/12)</f>
        <v>381.17333333333335</v>
      </c>
      <c r="K104" s="10">
        <f t="shared" si="16"/>
        <v>1383.6426666666669</v>
      </c>
      <c r="L104" s="10">
        <f t="shared" si="17"/>
        <v>1383.6426666666669</v>
      </c>
      <c r="M104" s="10">
        <f>Dashboard!$H$12</f>
        <v>2304.5500000000002</v>
      </c>
      <c r="N104" s="10">
        <f t="shared" si="18"/>
        <v>-920.90733333333333</v>
      </c>
      <c r="O104" s="10">
        <f>INDEX(Financiamento_EV!$O$17:$O$136,A104)</f>
        <v>0</v>
      </c>
      <c r="P104" s="10">
        <f t="shared" si="19"/>
        <v>31107.236317706564</v>
      </c>
    </row>
    <row r="105" spans="1:16">
      <c r="A105">
        <v>95</v>
      </c>
      <c r="B105" s="62">
        <f>INDEX(Financiamento_EV!$B$17:$B$136,A105)</f>
        <v>49126</v>
      </c>
      <c r="C105" s="10">
        <f>INDEX(Financiamento_EV!$G$17:$G$136,A105)</f>
        <v>0</v>
      </c>
      <c r="D105" s="10">
        <f>INDEX(Financiamento_EV!$L$17:$L$136,A105)</f>
        <v>0</v>
      </c>
      <c r="E105" s="10">
        <f>INDEX(Financiamento_EV!$M$17:$M$136,A105)</f>
        <v>0</v>
      </c>
      <c r="F105" s="10">
        <f>INDEX(Financiamento_EV!$N$17:$N$136,A105)</f>
        <v>0</v>
      </c>
      <c r="G105" s="10">
        <f>IF(Comparador_EV!$J$8="","",Comparador_EV!$J$8/12)</f>
        <v>471.63600000000002</v>
      </c>
      <c r="H105" s="10">
        <f>IF(Comparador_EV!$J$12="","",Comparador_EV!$J$12/12)</f>
        <v>64.166666666666671</v>
      </c>
      <c r="I105" s="10">
        <f>IF(Comparador_EV!$J$9="","",Comparador_EV!$J$9/12)</f>
        <v>466.66666666666669</v>
      </c>
      <c r="J105" s="10">
        <f>IF(OR(Comparador_EV!$J$10="",Comparador_EV!$J$11=""),"",(Comparador_EV!$J$10+Comparador_EV!$J$11)/12)</f>
        <v>381.17333333333335</v>
      </c>
      <c r="K105" s="10">
        <f t="shared" si="16"/>
        <v>1383.6426666666669</v>
      </c>
      <c r="L105" s="10">
        <f t="shared" si="17"/>
        <v>1383.6426666666669</v>
      </c>
      <c r="M105" s="10">
        <f>Dashboard!$H$12</f>
        <v>2304.5500000000002</v>
      </c>
      <c r="N105" s="10">
        <f t="shared" si="18"/>
        <v>-920.90733333333333</v>
      </c>
      <c r="O105" s="10">
        <f>INDEX(Financiamento_EV!$O$17:$O$136,A105)</f>
        <v>0</v>
      </c>
      <c r="P105" s="10">
        <f t="shared" si="19"/>
        <v>30186.328984373231</v>
      </c>
    </row>
    <row r="106" spans="1:16">
      <c r="A106">
        <v>96</v>
      </c>
      <c r="B106" s="62">
        <f>INDEX(Financiamento_EV!$B$17:$B$136,A106)</f>
        <v>49157</v>
      </c>
      <c r="C106" s="10">
        <f>INDEX(Financiamento_EV!$G$17:$G$136,A106)</f>
        <v>0</v>
      </c>
      <c r="D106" s="10">
        <f>INDEX(Financiamento_EV!$L$17:$L$136,A106)</f>
        <v>0</v>
      </c>
      <c r="E106" s="10">
        <f>INDEX(Financiamento_EV!$M$17:$M$136,A106)</f>
        <v>0</v>
      </c>
      <c r="F106" s="10">
        <f>INDEX(Financiamento_EV!$N$17:$N$136,A106)</f>
        <v>0</v>
      </c>
      <c r="G106" s="10">
        <f>IF(Comparador_EV!$J$8="","",Comparador_EV!$J$8/12)</f>
        <v>471.63600000000002</v>
      </c>
      <c r="H106" s="10">
        <f>IF(Comparador_EV!$J$12="","",Comparador_EV!$J$12/12)</f>
        <v>64.166666666666671</v>
      </c>
      <c r="I106" s="10">
        <f>IF(Comparador_EV!$J$9="","",Comparador_EV!$J$9/12)</f>
        <v>466.66666666666669</v>
      </c>
      <c r="J106" s="10">
        <f>IF(OR(Comparador_EV!$J$10="",Comparador_EV!$J$11=""),"",(Comparador_EV!$J$10+Comparador_EV!$J$11)/12)</f>
        <v>381.17333333333335</v>
      </c>
      <c r="K106" s="10">
        <f t="shared" si="16"/>
        <v>1383.6426666666669</v>
      </c>
      <c r="L106" s="10">
        <f t="shared" si="17"/>
        <v>1383.6426666666669</v>
      </c>
      <c r="M106" s="10">
        <f>Dashboard!$H$12</f>
        <v>2304.5500000000002</v>
      </c>
      <c r="N106" s="10">
        <f t="shared" si="18"/>
        <v>-920.90733333333333</v>
      </c>
      <c r="O106" s="10">
        <f>INDEX(Financiamento_EV!$O$17:$O$136,A106)</f>
        <v>0</v>
      </c>
      <c r="P106" s="10">
        <f t="shared" si="19"/>
        <v>29265.421651039898</v>
      </c>
    </row>
    <row r="107" spans="1:16">
      <c r="A107">
        <v>97</v>
      </c>
      <c r="B107" s="62">
        <f>INDEX(Financiamento_EV!$B$17:$B$136,A107)</f>
        <v>49188</v>
      </c>
      <c r="C107" s="10">
        <f>INDEX(Financiamento_EV!$G$17:$G$136,A107)</f>
        <v>0</v>
      </c>
      <c r="D107" s="10">
        <f>INDEX(Financiamento_EV!$L$17:$L$136,A107)</f>
        <v>0</v>
      </c>
      <c r="E107" s="10">
        <f>INDEX(Financiamento_EV!$M$17:$M$136,A107)</f>
        <v>0</v>
      </c>
      <c r="F107" s="10">
        <f>INDEX(Financiamento_EV!$N$17:$N$136,A107)</f>
        <v>0</v>
      </c>
      <c r="G107" s="10">
        <f>IF(Comparador_EV!$J$8="","",Comparador_EV!$J$8/12)</f>
        <v>471.63600000000002</v>
      </c>
      <c r="H107" s="10">
        <f>IF(Comparador_EV!$J$12="","",Comparador_EV!$J$12/12)</f>
        <v>64.166666666666671</v>
      </c>
      <c r="I107" s="10">
        <f>IF(Comparador_EV!$J$9="","",Comparador_EV!$J$9/12)</f>
        <v>466.66666666666669</v>
      </c>
      <c r="J107" s="10">
        <f>IF(OR(Comparador_EV!$J$10="",Comparador_EV!$J$11=""),"",(Comparador_EV!$J$10+Comparador_EV!$J$11)/12)</f>
        <v>381.17333333333335</v>
      </c>
      <c r="K107" s="10">
        <f t="shared" ref="K107:K130" si="20">IF(COUNT(G107:J107)&lt;4,"",SUM(G107:J107))</f>
        <v>1383.6426666666669</v>
      </c>
      <c r="L107" s="10">
        <f t="shared" ref="L107:L130" si="21">IF(K107="","",F107+K107)</f>
        <v>1383.6426666666669</v>
      </c>
      <c r="M107" s="10">
        <f>Dashboard!$H$12</f>
        <v>2304.5500000000002</v>
      </c>
      <c r="N107" s="10">
        <f t="shared" ref="N107:N130" si="22">IF(OR(L107="",M107=""),"",L107-M107)</f>
        <v>-920.90733333333333</v>
      </c>
      <c r="O107" s="10">
        <f>INDEX(Financiamento_EV!$O$17:$O$136,A107)</f>
        <v>0</v>
      </c>
      <c r="P107" s="10">
        <f t="shared" si="19"/>
        <v>28344.514317706566</v>
      </c>
    </row>
    <row r="108" spans="1:16">
      <c r="A108">
        <v>98</v>
      </c>
      <c r="B108" s="62">
        <f>INDEX(Financiamento_EV!$B$17:$B$136,A108)</f>
        <v>49218</v>
      </c>
      <c r="C108" s="10">
        <f>INDEX(Financiamento_EV!$G$17:$G$136,A108)</f>
        <v>0</v>
      </c>
      <c r="D108" s="10">
        <f>INDEX(Financiamento_EV!$L$17:$L$136,A108)</f>
        <v>0</v>
      </c>
      <c r="E108" s="10">
        <f>INDEX(Financiamento_EV!$M$17:$M$136,A108)</f>
        <v>0</v>
      </c>
      <c r="F108" s="10">
        <f>INDEX(Financiamento_EV!$N$17:$N$136,A108)</f>
        <v>0</v>
      </c>
      <c r="G108" s="10">
        <f>IF(Comparador_EV!$J$8="","",Comparador_EV!$J$8/12)</f>
        <v>471.63600000000002</v>
      </c>
      <c r="H108" s="10">
        <f>IF(Comparador_EV!$J$12="","",Comparador_EV!$J$12/12)</f>
        <v>64.166666666666671</v>
      </c>
      <c r="I108" s="10">
        <f>IF(Comparador_EV!$J$9="","",Comparador_EV!$J$9/12)</f>
        <v>466.66666666666669</v>
      </c>
      <c r="J108" s="10">
        <f>IF(OR(Comparador_EV!$J$10="",Comparador_EV!$J$11=""),"",(Comparador_EV!$J$10+Comparador_EV!$J$11)/12)</f>
        <v>381.17333333333335</v>
      </c>
      <c r="K108" s="10">
        <f t="shared" si="20"/>
        <v>1383.6426666666669</v>
      </c>
      <c r="L108" s="10">
        <f t="shared" si="21"/>
        <v>1383.6426666666669</v>
      </c>
      <c r="M108" s="10">
        <f>Dashboard!$H$12</f>
        <v>2304.5500000000002</v>
      </c>
      <c r="N108" s="10">
        <f t="shared" si="22"/>
        <v>-920.90733333333333</v>
      </c>
      <c r="O108" s="10">
        <f>INDEX(Financiamento_EV!$O$17:$O$136,A108)</f>
        <v>0</v>
      </c>
      <c r="P108" s="10">
        <f t="shared" ref="P108:P130" si="23">P107+N108</f>
        <v>27423.606984373233</v>
      </c>
    </row>
    <row r="109" spans="1:16">
      <c r="A109">
        <v>99</v>
      </c>
      <c r="B109" s="62">
        <f>INDEX(Financiamento_EV!$B$17:$B$136,A109)</f>
        <v>49249</v>
      </c>
      <c r="C109" s="10">
        <f>INDEX(Financiamento_EV!$G$17:$G$136,A109)</f>
        <v>0</v>
      </c>
      <c r="D109" s="10">
        <f>INDEX(Financiamento_EV!$L$17:$L$136,A109)</f>
        <v>0</v>
      </c>
      <c r="E109" s="10">
        <f>INDEX(Financiamento_EV!$M$17:$M$136,A109)</f>
        <v>0</v>
      </c>
      <c r="F109" s="10">
        <f>INDEX(Financiamento_EV!$N$17:$N$136,A109)</f>
        <v>0</v>
      </c>
      <c r="G109" s="10">
        <f>IF(Comparador_EV!$J$8="","",Comparador_EV!$J$8/12)</f>
        <v>471.63600000000002</v>
      </c>
      <c r="H109" s="10">
        <f>IF(Comparador_EV!$J$12="","",Comparador_EV!$J$12/12)</f>
        <v>64.166666666666671</v>
      </c>
      <c r="I109" s="10">
        <f>IF(Comparador_EV!$J$9="","",Comparador_EV!$J$9/12)</f>
        <v>466.66666666666669</v>
      </c>
      <c r="J109" s="10">
        <f>IF(OR(Comparador_EV!$J$10="",Comparador_EV!$J$11=""),"",(Comparador_EV!$J$10+Comparador_EV!$J$11)/12)</f>
        <v>381.17333333333335</v>
      </c>
      <c r="K109" s="10">
        <f t="shared" si="20"/>
        <v>1383.6426666666669</v>
      </c>
      <c r="L109" s="10">
        <f t="shared" si="21"/>
        <v>1383.6426666666669</v>
      </c>
      <c r="M109" s="10">
        <f>Dashboard!$H$12</f>
        <v>2304.5500000000002</v>
      </c>
      <c r="N109" s="10">
        <f t="shared" si="22"/>
        <v>-920.90733333333333</v>
      </c>
      <c r="O109" s="10">
        <f>INDEX(Financiamento_EV!$O$17:$O$136,A109)</f>
        <v>0</v>
      </c>
      <c r="P109" s="10">
        <f t="shared" si="23"/>
        <v>26502.6996510399</v>
      </c>
    </row>
    <row r="110" spans="1:16">
      <c r="A110">
        <v>100</v>
      </c>
      <c r="B110" s="62">
        <f>INDEX(Financiamento_EV!$B$17:$B$136,A110)</f>
        <v>49279</v>
      </c>
      <c r="C110" s="10">
        <f>INDEX(Financiamento_EV!$G$17:$G$136,A110)</f>
        <v>0</v>
      </c>
      <c r="D110" s="10">
        <f>INDEX(Financiamento_EV!$L$17:$L$136,A110)</f>
        <v>0</v>
      </c>
      <c r="E110" s="10">
        <f>INDEX(Financiamento_EV!$M$17:$M$136,A110)</f>
        <v>0</v>
      </c>
      <c r="F110" s="10">
        <f>INDEX(Financiamento_EV!$N$17:$N$136,A110)</f>
        <v>0</v>
      </c>
      <c r="G110" s="10">
        <f>IF(Comparador_EV!$J$8="","",Comparador_EV!$J$8/12)</f>
        <v>471.63600000000002</v>
      </c>
      <c r="H110" s="10">
        <f>IF(Comparador_EV!$J$12="","",Comparador_EV!$J$12/12)</f>
        <v>64.166666666666671</v>
      </c>
      <c r="I110" s="10">
        <f>IF(Comparador_EV!$J$9="","",Comparador_EV!$J$9/12)</f>
        <v>466.66666666666669</v>
      </c>
      <c r="J110" s="10">
        <f>IF(OR(Comparador_EV!$J$10="",Comparador_EV!$J$11=""),"",(Comparador_EV!$J$10+Comparador_EV!$J$11)/12)</f>
        <v>381.17333333333335</v>
      </c>
      <c r="K110" s="10">
        <f t="shared" si="20"/>
        <v>1383.6426666666669</v>
      </c>
      <c r="L110" s="10">
        <f t="shared" si="21"/>
        <v>1383.6426666666669</v>
      </c>
      <c r="M110" s="10">
        <f>Dashboard!$H$12</f>
        <v>2304.5500000000002</v>
      </c>
      <c r="N110" s="10">
        <f t="shared" si="22"/>
        <v>-920.90733333333333</v>
      </c>
      <c r="O110" s="10">
        <f>INDEX(Financiamento_EV!$O$17:$O$136,A110)</f>
        <v>0</v>
      </c>
      <c r="P110" s="10">
        <f t="shared" si="23"/>
        <v>25581.792317706568</v>
      </c>
    </row>
    <row r="111" spans="1:16">
      <c r="A111">
        <v>101</v>
      </c>
      <c r="B111" s="62">
        <f>INDEX(Financiamento_EV!$B$17:$B$136,A111)</f>
        <v>49310</v>
      </c>
      <c r="C111" s="10">
        <f>INDEX(Financiamento_EV!$G$17:$G$136,A111)</f>
        <v>0</v>
      </c>
      <c r="D111" s="10">
        <f>INDEX(Financiamento_EV!$L$17:$L$136,A111)</f>
        <v>0</v>
      </c>
      <c r="E111" s="10">
        <f>INDEX(Financiamento_EV!$M$17:$M$136,A111)</f>
        <v>0</v>
      </c>
      <c r="F111" s="10">
        <f>INDEX(Financiamento_EV!$N$17:$N$136,A111)</f>
        <v>0</v>
      </c>
      <c r="G111" s="10">
        <f>IF(Comparador_EV!$J$8="","",Comparador_EV!$J$8/12)</f>
        <v>471.63600000000002</v>
      </c>
      <c r="H111" s="10">
        <f>IF(Comparador_EV!$J$12="","",Comparador_EV!$J$12/12)</f>
        <v>64.166666666666671</v>
      </c>
      <c r="I111" s="10">
        <f>IF(Comparador_EV!$J$9="","",Comparador_EV!$J$9/12)</f>
        <v>466.66666666666669</v>
      </c>
      <c r="J111" s="10">
        <f>IF(OR(Comparador_EV!$J$10="",Comparador_EV!$J$11=""),"",(Comparador_EV!$J$10+Comparador_EV!$J$11)/12)</f>
        <v>381.17333333333335</v>
      </c>
      <c r="K111" s="10">
        <f t="shared" si="20"/>
        <v>1383.6426666666669</v>
      </c>
      <c r="L111" s="10">
        <f t="shared" si="21"/>
        <v>1383.6426666666669</v>
      </c>
      <c r="M111" s="10">
        <f>Dashboard!$H$12</f>
        <v>2304.5500000000002</v>
      </c>
      <c r="N111" s="10">
        <f t="shared" si="22"/>
        <v>-920.90733333333333</v>
      </c>
      <c r="O111" s="10">
        <f>INDEX(Financiamento_EV!$O$17:$O$136,A111)</f>
        <v>0</v>
      </c>
      <c r="P111" s="10">
        <f t="shared" si="23"/>
        <v>24660.884984373235</v>
      </c>
    </row>
    <row r="112" spans="1:16">
      <c r="A112">
        <v>102</v>
      </c>
      <c r="B112" s="62">
        <f>INDEX(Financiamento_EV!$B$17:$B$136,A112)</f>
        <v>49341</v>
      </c>
      <c r="C112" s="10">
        <f>INDEX(Financiamento_EV!$G$17:$G$136,A112)</f>
        <v>0</v>
      </c>
      <c r="D112" s="10">
        <f>INDEX(Financiamento_EV!$L$17:$L$136,A112)</f>
        <v>0</v>
      </c>
      <c r="E112" s="10">
        <f>INDEX(Financiamento_EV!$M$17:$M$136,A112)</f>
        <v>0</v>
      </c>
      <c r="F112" s="10">
        <f>INDEX(Financiamento_EV!$N$17:$N$136,A112)</f>
        <v>0</v>
      </c>
      <c r="G112" s="10">
        <f>IF(Comparador_EV!$J$8="","",Comparador_EV!$J$8/12)</f>
        <v>471.63600000000002</v>
      </c>
      <c r="H112" s="10">
        <f>IF(Comparador_EV!$J$12="","",Comparador_EV!$J$12/12)</f>
        <v>64.166666666666671</v>
      </c>
      <c r="I112" s="10">
        <f>IF(Comparador_EV!$J$9="","",Comparador_EV!$J$9/12)</f>
        <v>466.66666666666669</v>
      </c>
      <c r="J112" s="10">
        <f>IF(OR(Comparador_EV!$J$10="",Comparador_EV!$J$11=""),"",(Comparador_EV!$J$10+Comparador_EV!$J$11)/12)</f>
        <v>381.17333333333335</v>
      </c>
      <c r="K112" s="10">
        <f t="shared" si="20"/>
        <v>1383.6426666666669</v>
      </c>
      <c r="L112" s="10">
        <f t="shared" si="21"/>
        <v>1383.6426666666669</v>
      </c>
      <c r="M112" s="10">
        <f>Dashboard!$H$12</f>
        <v>2304.5500000000002</v>
      </c>
      <c r="N112" s="10">
        <f t="shared" si="22"/>
        <v>-920.90733333333333</v>
      </c>
      <c r="O112" s="10">
        <f>INDEX(Financiamento_EV!$O$17:$O$136,A112)</f>
        <v>0</v>
      </c>
      <c r="P112" s="10">
        <f t="shared" si="23"/>
        <v>23739.977651039902</v>
      </c>
    </row>
    <row r="113" spans="1:16">
      <c r="A113">
        <v>103</v>
      </c>
      <c r="B113" s="62">
        <f>INDEX(Financiamento_EV!$B$17:$B$136,A113)</f>
        <v>49369</v>
      </c>
      <c r="C113" s="10">
        <f>INDEX(Financiamento_EV!$G$17:$G$136,A113)</f>
        <v>0</v>
      </c>
      <c r="D113" s="10">
        <f>INDEX(Financiamento_EV!$L$17:$L$136,A113)</f>
        <v>0</v>
      </c>
      <c r="E113" s="10">
        <f>INDEX(Financiamento_EV!$M$17:$M$136,A113)</f>
        <v>0</v>
      </c>
      <c r="F113" s="10">
        <f>INDEX(Financiamento_EV!$N$17:$N$136,A113)</f>
        <v>0</v>
      </c>
      <c r="G113" s="10">
        <f>IF(Comparador_EV!$J$8="","",Comparador_EV!$J$8/12)</f>
        <v>471.63600000000002</v>
      </c>
      <c r="H113" s="10">
        <f>IF(Comparador_EV!$J$12="","",Comparador_EV!$J$12/12)</f>
        <v>64.166666666666671</v>
      </c>
      <c r="I113" s="10">
        <f>IF(Comparador_EV!$J$9="","",Comparador_EV!$J$9/12)</f>
        <v>466.66666666666669</v>
      </c>
      <c r="J113" s="10">
        <f>IF(OR(Comparador_EV!$J$10="",Comparador_EV!$J$11=""),"",(Comparador_EV!$J$10+Comparador_EV!$J$11)/12)</f>
        <v>381.17333333333335</v>
      </c>
      <c r="K113" s="10">
        <f t="shared" si="20"/>
        <v>1383.6426666666669</v>
      </c>
      <c r="L113" s="10">
        <f t="shared" si="21"/>
        <v>1383.6426666666669</v>
      </c>
      <c r="M113" s="10">
        <f>Dashboard!$H$12</f>
        <v>2304.5500000000002</v>
      </c>
      <c r="N113" s="10">
        <f t="shared" si="22"/>
        <v>-920.90733333333333</v>
      </c>
      <c r="O113" s="10">
        <f>INDEX(Financiamento_EV!$O$17:$O$136,A113)</f>
        <v>0</v>
      </c>
      <c r="P113" s="10">
        <f t="shared" si="23"/>
        <v>22819.07031770657</v>
      </c>
    </row>
    <row r="114" spans="1:16">
      <c r="A114">
        <v>104</v>
      </c>
      <c r="B114" s="62">
        <f>INDEX(Financiamento_EV!$B$17:$B$136,A114)</f>
        <v>49400</v>
      </c>
      <c r="C114" s="10">
        <f>INDEX(Financiamento_EV!$G$17:$G$136,A114)</f>
        <v>0</v>
      </c>
      <c r="D114" s="10">
        <f>INDEX(Financiamento_EV!$L$17:$L$136,A114)</f>
        <v>0</v>
      </c>
      <c r="E114" s="10">
        <f>INDEX(Financiamento_EV!$M$17:$M$136,A114)</f>
        <v>0</v>
      </c>
      <c r="F114" s="10">
        <f>INDEX(Financiamento_EV!$N$17:$N$136,A114)</f>
        <v>0</v>
      </c>
      <c r="G114" s="10">
        <f>IF(Comparador_EV!$J$8="","",Comparador_EV!$J$8/12)</f>
        <v>471.63600000000002</v>
      </c>
      <c r="H114" s="10">
        <f>IF(Comparador_EV!$J$12="","",Comparador_EV!$J$12/12)</f>
        <v>64.166666666666671</v>
      </c>
      <c r="I114" s="10">
        <f>IF(Comparador_EV!$J$9="","",Comparador_EV!$J$9/12)</f>
        <v>466.66666666666669</v>
      </c>
      <c r="J114" s="10">
        <f>IF(OR(Comparador_EV!$J$10="",Comparador_EV!$J$11=""),"",(Comparador_EV!$J$10+Comparador_EV!$J$11)/12)</f>
        <v>381.17333333333335</v>
      </c>
      <c r="K114" s="10">
        <f t="shared" si="20"/>
        <v>1383.6426666666669</v>
      </c>
      <c r="L114" s="10">
        <f t="shared" si="21"/>
        <v>1383.6426666666669</v>
      </c>
      <c r="M114" s="10">
        <f>Dashboard!$H$12</f>
        <v>2304.5500000000002</v>
      </c>
      <c r="N114" s="10">
        <f t="shared" si="22"/>
        <v>-920.90733333333333</v>
      </c>
      <c r="O114" s="10">
        <f>INDEX(Financiamento_EV!$O$17:$O$136,A114)</f>
        <v>0</v>
      </c>
      <c r="P114" s="10">
        <f t="shared" si="23"/>
        <v>21898.162984373237</v>
      </c>
    </row>
    <row r="115" spans="1:16">
      <c r="A115">
        <v>105</v>
      </c>
      <c r="B115" s="62">
        <f>INDEX(Financiamento_EV!$B$17:$B$136,A115)</f>
        <v>49430</v>
      </c>
      <c r="C115" s="10">
        <f>INDEX(Financiamento_EV!$G$17:$G$136,A115)</f>
        <v>0</v>
      </c>
      <c r="D115" s="10">
        <f>INDEX(Financiamento_EV!$L$17:$L$136,A115)</f>
        <v>0</v>
      </c>
      <c r="E115" s="10">
        <f>INDEX(Financiamento_EV!$M$17:$M$136,A115)</f>
        <v>0</v>
      </c>
      <c r="F115" s="10">
        <f>INDEX(Financiamento_EV!$N$17:$N$136,A115)</f>
        <v>0</v>
      </c>
      <c r="G115" s="10">
        <f>IF(Comparador_EV!$J$8="","",Comparador_EV!$J$8/12)</f>
        <v>471.63600000000002</v>
      </c>
      <c r="H115" s="10">
        <f>IF(Comparador_EV!$J$12="","",Comparador_EV!$J$12/12)</f>
        <v>64.166666666666671</v>
      </c>
      <c r="I115" s="10">
        <f>IF(Comparador_EV!$J$9="","",Comparador_EV!$J$9/12)</f>
        <v>466.66666666666669</v>
      </c>
      <c r="J115" s="10">
        <f>IF(OR(Comparador_EV!$J$10="",Comparador_EV!$J$11=""),"",(Comparador_EV!$J$10+Comparador_EV!$J$11)/12)</f>
        <v>381.17333333333335</v>
      </c>
      <c r="K115" s="10">
        <f t="shared" si="20"/>
        <v>1383.6426666666669</v>
      </c>
      <c r="L115" s="10">
        <f t="shared" si="21"/>
        <v>1383.6426666666669</v>
      </c>
      <c r="M115" s="10">
        <f>Dashboard!$H$12</f>
        <v>2304.5500000000002</v>
      </c>
      <c r="N115" s="10">
        <f t="shared" si="22"/>
        <v>-920.90733333333333</v>
      </c>
      <c r="O115" s="10">
        <f>INDEX(Financiamento_EV!$O$17:$O$136,A115)</f>
        <v>0</v>
      </c>
      <c r="P115" s="10">
        <f t="shared" si="23"/>
        <v>20977.255651039904</v>
      </c>
    </row>
    <row r="116" spans="1:16">
      <c r="A116">
        <v>106</v>
      </c>
      <c r="B116" s="62">
        <f>INDEX(Financiamento_EV!$B$17:$B$136,A116)</f>
        <v>49461</v>
      </c>
      <c r="C116" s="10">
        <f>INDEX(Financiamento_EV!$G$17:$G$136,A116)</f>
        <v>0</v>
      </c>
      <c r="D116" s="10">
        <f>INDEX(Financiamento_EV!$L$17:$L$136,A116)</f>
        <v>0</v>
      </c>
      <c r="E116" s="10">
        <f>INDEX(Financiamento_EV!$M$17:$M$136,A116)</f>
        <v>0</v>
      </c>
      <c r="F116" s="10">
        <f>INDEX(Financiamento_EV!$N$17:$N$136,A116)</f>
        <v>0</v>
      </c>
      <c r="G116" s="10">
        <f>IF(Comparador_EV!$J$8="","",Comparador_EV!$J$8/12)</f>
        <v>471.63600000000002</v>
      </c>
      <c r="H116" s="10">
        <f>IF(Comparador_EV!$J$12="","",Comparador_EV!$J$12/12)</f>
        <v>64.166666666666671</v>
      </c>
      <c r="I116" s="10">
        <f>IF(Comparador_EV!$J$9="","",Comparador_EV!$J$9/12)</f>
        <v>466.66666666666669</v>
      </c>
      <c r="J116" s="10">
        <f>IF(OR(Comparador_EV!$J$10="",Comparador_EV!$J$11=""),"",(Comparador_EV!$J$10+Comparador_EV!$J$11)/12)</f>
        <v>381.17333333333335</v>
      </c>
      <c r="K116" s="10">
        <f t="shared" si="20"/>
        <v>1383.6426666666669</v>
      </c>
      <c r="L116" s="10">
        <f t="shared" si="21"/>
        <v>1383.6426666666669</v>
      </c>
      <c r="M116" s="10">
        <f>Dashboard!$H$12</f>
        <v>2304.5500000000002</v>
      </c>
      <c r="N116" s="10">
        <f t="shared" si="22"/>
        <v>-920.90733333333333</v>
      </c>
      <c r="O116" s="10">
        <f>INDEX(Financiamento_EV!$O$17:$O$136,A116)</f>
        <v>0</v>
      </c>
      <c r="P116" s="10">
        <f t="shared" si="23"/>
        <v>20056.348317706572</v>
      </c>
    </row>
    <row r="117" spans="1:16">
      <c r="A117">
        <v>107</v>
      </c>
      <c r="B117" s="62">
        <f>INDEX(Financiamento_EV!$B$17:$B$136,A117)</f>
        <v>49491</v>
      </c>
      <c r="C117" s="10">
        <f>INDEX(Financiamento_EV!$G$17:$G$136,A117)</f>
        <v>0</v>
      </c>
      <c r="D117" s="10">
        <f>INDEX(Financiamento_EV!$L$17:$L$136,A117)</f>
        <v>0</v>
      </c>
      <c r="E117" s="10">
        <f>INDEX(Financiamento_EV!$M$17:$M$136,A117)</f>
        <v>0</v>
      </c>
      <c r="F117" s="10">
        <f>INDEX(Financiamento_EV!$N$17:$N$136,A117)</f>
        <v>0</v>
      </c>
      <c r="G117" s="10">
        <f>IF(Comparador_EV!$J$8="","",Comparador_EV!$J$8/12)</f>
        <v>471.63600000000002</v>
      </c>
      <c r="H117" s="10">
        <f>IF(Comparador_EV!$J$12="","",Comparador_EV!$J$12/12)</f>
        <v>64.166666666666671</v>
      </c>
      <c r="I117" s="10">
        <f>IF(Comparador_EV!$J$9="","",Comparador_EV!$J$9/12)</f>
        <v>466.66666666666669</v>
      </c>
      <c r="J117" s="10">
        <f>IF(OR(Comparador_EV!$J$10="",Comparador_EV!$J$11=""),"",(Comparador_EV!$J$10+Comparador_EV!$J$11)/12)</f>
        <v>381.17333333333335</v>
      </c>
      <c r="K117" s="10">
        <f t="shared" si="20"/>
        <v>1383.6426666666669</v>
      </c>
      <c r="L117" s="10">
        <f t="shared" si="21"/>
        <v>1383.6426666666669</v>
      </c>
      <c r="M117" s="10">
        <f>Dashboard!$H$12</f>
        <v>2304.5500000000002</v>
      </c>
      <c r="N117" s="10">
        <f t="shared" si="22"/>
        <v>-920.90733333333333</v>
      </c>
      <c r="O117" s="10">
        <f>INDEX(Financiamento_EV!$O$17:$O$136,A117)</f>
        <v>0</v>
      </c>
      <c r="P117" s="10">
        <f t="shared" si="23"/>
        <v>19135.440984373239</v>
      </c>
    </row>
    <row r="118" spans="1:16">
      <c r="A118">
        <v>108</v>
      </c>
      <c r="B118" s="62">
        <f>INDEX(Financiamento_EV!$B$17:$B$136,A118)</f>
        <v>49522</v>
      </c>
      <c r="C118" s="10">
        <f>INDEX(Financiamento_EV!$G$17:$G$136,A118)</f>
        <v>0</v>
      </c>
      <c r="D118" s="10">
        <f>INDEX(Financiamento_EV!$L$17:$L$136,A118)</f>
        <v>0</v>
      </c>
      <c r="E118" s="10">
        <f>INDEX(Financiamento_EV!$M$17:$M$136,A118)</f>
        <v>0</v>
      </c>
      <c r="F118" s="10">
        <f>INDEX(Financiamento_EV!$N$17:$N$136,A118)</f>
        <v>0</v>
      </c>
      <c r="G118" s="10">
        <f>IF(Comparador_EV!$J$8="","",Comparador_EV!$J$8/12)</f>
        <v>471.63600000000002</v>
      </c>
      <c r="H118" s="10">
        <f>IF(Comparador_EV!$J$12="","",Comparador_EV!$J$12/12)</f>
        <v>64.166666666666671</v>
      </c>
      <c r="I118" s="10">
        <f>IF(Comparador_EV!$J$9="","",Comparador_EV!$J$9/12)</f>
        <v>466.66666666666669</v>
      </c>
      <c r="J118" s="10">
        <f>IF(OR(Comparador_EV!$J$10="",Comparador_EV!$J$11=""),"",(Comparador_EV!$J$10+Comparador_EV!$J$11)/12)</f>
        <v>381.17333333333335</v>
      </c>
      <c r="K118" s="10">
        <f t="shared" si="20"/>
        <v>1383.6426666666669</v>
      </c>
      <c r="L118" s="10">
        <f t="shared" si="21"/>
        <v>1383.6426666666669</v>
      </c>
      <c r="M118" s="10">
        <f>Dashboard!$H$12</f>
        <v>2304.5500000000002</v>
      </c>
      <c r="N118" s="10">
        <f t="shared" si="22"/>
        <v>-920.90733333333333</v>
      </c>
      <c r="O118" s="10">
        <f>INDEX(Financiamento_EV!$O$17:$O$136,A118)</f>
        <v>0</v>
      </c>
      <c r="P118" s="10">
        <f t="shared" si="23"/>
        <v>18214.533651039907</v>
      </c>
    </row>
    <row r="119" spans="1:16">
      <c r="A119">
        <v>109</v>
      </c>
      <c r="B119" s="62">
        <f>INDEX(Financiamento_EV!$B$17:$B$136,A119)</f>
        <v>49553</v>
      </c>
      <c r="C119" s="10">
        <f>INDEX(Financiamento_EV!$G$17:$G$136,A119)</f>
        <v>0</v>
      </c>
      <c r="D119" s="10">
        <f>INDEX(Financiamento_EV!$L$17:$L$136,A119)</f>
        <v>0</v>
      </c>
      <c r="E119" s="10">
        <f>INDEX(Financiamento_EV!$M$17:$M$136,A119)</f>
        <v>0</v>
      </c>
      <c r="F119" s="10">
        <f>INDEX(Financiamento_EV!$N$17:$N$136,A119)</f>
        <v>0</v>
      </c>
      <c r="G119" s="10">
        <f>IF(Comparador_EV!$J$8="","",Comparador_EV!$J$8/12)</f>
        <v>471.63600000000002</v>
      </c>
      <c r="H119" s="10">
        <f>IF(Comparador_EV!$J$12="","",Comparador_EV!$J$12/12)</f>
        <v>64.166666666666671</v>
      </c>
      <c r="I119" s="10">
        <f>IF(Comparador_EV!$J$9="","",Comparador_EV!$J$9/12)</f>
        <v>466.66666666666669</v>
      </c>
      <c r="J119" s="10">
        <f>IF(OR(Comparador_EV!$J$10="",Comparador_EV!$J$11=""),"",(Comparador_EV!$J$10+Comparador_EV!$J$11)/12)</f>
        <v>381.17333333333335</v>
      </c>
      <c r="K119" s="10">
        <f t="shared" si="20"/>
        <v>1383.6426666666669</v>
      </c>
      <c r="L119" s="10">
        <f t="shared" si="21"/>
        <v>1383.6426666666669</v>
      </c>
      <c r="M119" s="10">
        <f>Dashboard!$H$12</f>
        <v>2304.5500000000002</v>
      </c>
      <c r="N119" s="10">
        <f t="shared" si="22"/>
        <v>-920.90733333333333</v>
      </c>
      <c r="O119" s="10">
        <f>INDEX(Financiamento_EV!$O$17:$O$136,A119)</f>
        <v>0</v>
      </c>
      <c r="P119" s="10">
        <f t="shared" si="23"/>
        <v>17293.626317706574</v>
      </c>
    </row>
    <row r="120" spans="1:16">
      <c r="A120">
        <v>110</v>
      </c>
      <c r="B120" s="62">
        <f>INDEX(Financiamento_EV!$B$17:$B$136,A120)</f>
        <v>49583</v>
      </c>
      <c r="C120" s="10">
        <f>INDEX(Financiamento_EV!$G$17:$G$136,A120)</f>
        <v>0</v>
      </c>
      <c r="D120" s="10">
        <f>INDEX(Financiamento_EV!$L$17:$L$136,A120)</f>
        <v>0</v>
      </c>
      <c r="E120" s="10">
        <f>INDEX(Financiamento_EV!$M$17:$M$136,A120)</f>
        <v>0</v>
      </c>
      <c r="F120" s="10">
        <f>INDEX(Financiamento_EV!$N$17:$N$136,A120)</f>
        <v>0</v>
      </c>
      <c r="G120" s="10">
        <f>IF(Comparador_EV!$J$8="","",Comparador_EV!$J$8/12)</f>
        <v>471.63600000000002</v>
      </c>
      <c r="H120" s="10">
        <f>IF(Comparador_EV!$J$12="","",Comparador_EV!$J$12/12)</f>
        <v>64.166666666666671</v>
      </c>
      <c r="I120" s="10">
        <f>IF(Comparador_EV!$J$9="","",Comparador_EV!$J$9/12)</f>
        <v>466.66666666666669</v>
      </c>
      <c r="J120" s="10">
        <f>IF(OR(Comparador_EV!$J$10="",Comparador_EV!$J$11=""),"",(Comparador_EV!$J$10+Comparador_EV!$J$11)/12)</f>
        <v>381.17333333333335</v>
      </c>
      <c r="K120" s="10">
        <f t="shared" si="20"/>
        <v>1383.6426666666669</v>
      </c>
      <c r="L120" s="10">
        <f t="shared" si="21"/>
        <v>1383.6426666666669</v>
      </c>
      <c r="M120" s="10">
        <f>Dashboard!$H$12</f>
        <v>2304.5500000000002</v>
      </c>
      <c r="N120" s="10">
        <f t="shared" si="22"/>
        <v>-920.90733333333333</v>
      </c>
      <c r="O120" s="10">
        <f>INDEX(Financiamento_EV!$O$17:$O$136,A120)</f>
        <v>0</v>
      </c>
      <c r="P120" s="10">
        <f t="shared" si="23"/>
        <v>16372.718984373241</v>
      </c>
    </row>
    <row r="121" spans="1:16">
      <c r="A121">
        <v>111</v>
      </c>
      <c r="B121" s="62">
        <f>INDEX(Financiamento_EV!$B$17:$B$136,A121)</f>
        <v>49614</v>
      </c>
      <c r="C121" s="10">
        <f>INDEX(Financiamento_EV!$G$17:$G$136,A121)</f>
        <v>0</v>
      </c>
      <c r="D121" s="10">
        <f>INDEX(Financiamento_EV!$L$17:$L$136,A121)</f>
        <v>0</v>
      </c>
      <c r="E121" s="10">
        <f>INDEX(Financiamento_EV!$M$17:$M$136,A121)</f>
        <v>0</v>
      </c>
      <c r="F121" s="10">
        <f>INDEX(Financiamento_EV!$N$17:$N$136,A121)</f>
        <v>0</v>
      </c>
      <c r="G121" s="10">
        <f>IF(Comparador_EV!$J$8="","",Comparador_EV!$J$8/12)</f>
        <v>471.63600000000002</v>
      </c>
      <c r="H121" s="10">
        <f>IF(Comparador_EV!$J$12="","",Comparador_EV!$J$12/12)</f>
        <v>64.166666666666671</v>
      </c>
      <c r="I121" s="10">
        <f>IF(Comparador_EV!$J$9="","",Comparador_EV!$J$9/12)</f>
        <v>466.66666666666669</v>
      </c>
      <c r="J121" s="10">
        <f>IF(OR(Comparador_EV!$J$10="",Comparador_EV!$J$11=""),"",(Comparador_EV!$J$10+Comparador_EV!$J$11)/12)</f>
        <v>381.17333333333335</v>
      </c>
      <c r="K121" s="10">
        <f t="shared" si="20"/>
        <v>1383.6426666666669</v>
      </c>
      <c r="L121" s="10">
        <f t="shared" si="21"/>
        <v>1383.6426666666669</v>
      </c>
      <c r="M121" s="10">
        <f>Dashboard!$H$12</f>
        <v>2304.5500000000002</v>
      </c>
      <c r="N121" s="10">
        <f t="shared" si="22"/>
        <v>-920.90733333333333</v>
      </c>
      <c r="O121" s="10">
        <f>INDEX(Financiamento_EV!$O$17:$O$136,A121)</f>
        <v>0</v>
      </c>
      <c r="P121" s="10">
        <f t="shared" si="23"/>
        <v>15451.811651039909</v>
      </c>
    </row>
    <row r="122" spans="1:16">
      <c r="A122">
        <v>112</v>
      </c>
      <c r="B122" s="62">
        <f>INDEX(Financiamento_EV!$B$17:$B$136,A122)</f>
        <v>49644</v>
      </c>
      <c r="C122" s="10">
        <f>INDEX(Financiamento_EV!$G$17:$G$136,A122)</f>
        <v>0</v>
      </c>
      <c r="D122" s="10">
        <f>INDEX(Financiamento_EV!$L$17:$L$136,A122)</f>
        <v>0</v>
      </c>
      <c r="E122" s="10">
        <f>INDEX(Financiamento_EV!$M$17:$M$136,A122)</f>
        <v>0</v>
      </c>
      <c r="F122" s="10">
        <f>INDEX(Financiamento_EV!$N$17:$N$136,A122)</f>
        <v>0</v>
      </c>
      <c r="G122" s="10">
        <f>IF(Comparador_EV!$J$8="","",Comparador_EV!$J$8/12)</f>
        <v>471.63600000000002</v>
      </c>
      <c r="H122" s="10">
        <f>IF(Comparador_EV!$J$12="","",Comparador_EV!$J$12/12)</f>
        <v>64.166666666666671</v>
      </c>
      <c r="I122" s="10">
        <f>IF(Comparador_EV!$J$9="","",Comparador_EV!$J$9/12)</f>
        <v>466.66666666666669</v>
      </c>
      <c r="J122" s="10">
        <f>IF(OR(Comparador_EV!$J$10="",Comparador_EV!$J$11=""),"",(Comparador_EV!$J$10+Comparador_EV!$J$11)/12)</f>
        <v>381.17333333333335</v>
      </c>
      <c r="K122" s="10">
        <f t="shared" si="20"/>
        <v>1383.6426666666669</v>
      </c>
      <c r="L122" s="10">
        <f t="shared" si="21"/>
        <v>1383.6426666666669</v>
      </c>
      <c r="M122" s="10">
        <f>Dashboard!$H$12</f>
        <v>2304.5500000000002</v>
      </c>
      <c r="N122" s="10">
        <f t="shared" si="22"/>
        <v>-920.90733333333333</v>
      </c>
      <c r="O122" s="10">
        <f>INDEX(Financiamento_EV!$O$17:$O$136,A122)</f>
        <v>0</v>
      </c>
      <c r="P122" s="10">
        <f t="shared" si="23"/>
        <v>14530.904317706576</v>
      </c>
    </row>
    <row r="123" spans="1:16">
      <c r="A123">
        <v>113</v>
      </c>
      <c r="B123" s="62">
        <f>INDEX(Financiamento_EV!$B$17:$B$136,A123)</f>
        <v>49675</v>
      </c>
      <c r="C123" s="10">
        <f>INDEX(Financiamento_EV!$G$17:$G$136,A123)</f>
        <v>0</v>
      </c>
      <c r="D123" s="10">
        <f>INDEX(Financiamento_EV!$L$17:$L$136,A123)</f>
        <v>0</v>
      </c>
      <c r="E123" s="10">
        <f>INDEX(Financiamento_EV!$M$17:$M$136,A123)</f>
        <v>0</v>
      </c>
      <c r="F123" s="10">
        <f>INDEX(Financiamento_EV!$N$17:$N$136,A123)</f>
        <v>0</v>
      </c>
      <c r="G123" s="10">
        <f>IF(Comparador_EV!$J$8="","",Comparador_EV!$J$8/12)</f>
        <v>471.63600000000002</v>
      </c>
      <c r="H123" s="10">
        <f>IF(Comparador_EV!$J$12="","",Comparador_EV!$J$12/12)</f>
        <v>64.166666666666671</v>
      </c>
      <c r="I123" s="10">
        <f>IF(Comparador_EV!$J$9="","",Comparador_EV!$J$9/12)</f>
        <v>466.66666666666669</v>
      </c>
      <c r="J123" s="10">
        <f>IF(OR(Comparador_EV!$J$10="",Comparador_EV!$J$11=""),"",(Comparador_EV!$J$10+Comparador_EV!$J$11)/12)</f>
        <v>381.17333333333335</v>
      </c>
      <c r="K123" s="10">
        <f t="shared" si="20"/>
        <v>1383.6426666666669</v>
      </c>
      <c r="L123" s="10">
        <f t="shared" si="21"/>
        <v>1383.6426666666669</v>
      </c>
      <c r="M123" s="10">
        <f>Dashboard!$H$12</f>
        <v>2304.5500000000002</v>
      </c>
      <c r="N123" s="10">
        <f t="shared" si="22"/>
        <v>-920.90733333333333</v>
      </c>
      <c r="O123" s="10">
        <f>INDEX(Financiamento_EV!$O$17:$O$136,A123)</f>
        <v>0</v>
      </c>
      <c r="P123" s="10">
        <f t="shared" si="23"/>
        <v>13609.996984373243</v>
      </c>
    </row>
    <row r="124" spans="1:16">
      <c r="A124">
        <v>114</v>
      </c>
      <c r="B124" s="62">
        <f>INDEX(Financiamento_EV!$B$17:$B$136,A124)</f>
        <v>49706</v>
      </c>
      <c r="C124" s="10">
        <f>INDEX(Financiamento_EV!$G$17:$G$136,A124)</f>
        <v>0</v>
      </c>
      <c r="D124" s="10">
        <f>INDEX(Financiamento_EV!$L$17:$L$136,A124)</f>
        <v>0</v>
      </c>
      <c r="E124" s="10">
        <f>INDEX(Financiamento_EV!$M$17:$M$136,A124)</f>
        <v>0</v>
      </c>
      <c r="F124" s="10">
        <f>INDEX(Financiamento_EV!$N$17:$N$136,A124)</f>
        <v>0</v>
      </c>
      <c r="G124" s="10">
        <f>IF(Comparador_EV!$J$8="","",Comparador_EV!$J$8/12)</f>
        <v>471.63600000000002</v>
      </c>
      <c r="H124" s="10">
        <f>IF(Comparador_EV!$J$12="","",Comparador_EV!$J$12/12)</f>
        <v>64.166666666666671</v>
      </c>
      <c r="I124" s="10">
        <f>IF(Comparador_EV!$J$9="","",Comparador_EV!$J$9/12)</f>
        <v>466.66666666666669</v>
      </c>
      <c r="J124" s="10">
        <f>IF(OR(Comparador_EV!$J$10="",Comparador_EV!$J$11=""),"",(Comparador_EV!$J$10+Comparador_EV!$J$11)/12)</f>
        <v>381.17333333333335</v>
      </c>
      <c r="K124" s="10">
        <f t="shared" si="20"/>
        <v>1383.6426666666669</v>
      </c>
      <c r="L124" s="10">
        <f t="shared" si="21"/>
        <v>1383.6426666666669</v>
      </c>
      <c r="M124" s="10">
        <f>Dashboard!$H$12</f>
        <v>2304.5500000000002</v>
      </c>
      <c r="N124" s="10">
        <f t="shared" si="22"/>
        <v>-920.90733333333333</v>
      </c>
      <c r="O124" s="10">
        <f>INDEX(Financiamento_EV!$O$17:$O$136,A124)</f>
        <v>0</v>
      </c>
      <c r="P124" s="10">
        <f t="shared" si="23"/>
        <v>12689.089651039911</v>
      </c>
    </row>
    <row r="125" spans="1:16">
      <c r="A125">
        <v>115</v>
      </c>
      <c r="B125" s="62">
        <f>INDEX(Financiamento_EV!$B$17:$B$136,A125)</f>
        <v>49735</v>
      </c>
      <c r="C125" s="10">
        <f>INDEX(Financiamento_EV!$G$17:$G$136,A125)</f>
        <v>0</v>
      </c>
      <c r="D125" s="10">
        <f>INDEX(Financiamento_EV!$L$17:$L$136,A125)</f>
        <v>0</v>
      </c>
      <c r="E125" s="10">
        <f>INDEX(Financiamento_EV!$M$17:$M$136,A125)</f>
        <v>0</v>
      </c>
      <c r="F125" s="10">
        <f>INDEX(Financiamento_EV!$N$17:$N$136,A125)</f>
        <v>0</v>
      </c>
      <c r="G125" s="10">
        <f>IF(Comparador_EV!$J$8="","",Comparador_EV!$J$8/12)</f>
        <v>471.63600000000002</v>
      </c>
      <c r="H125" s="10">
        <f>IF(Comparador_EV!$J$12="","",Comparador_EV!$J$12/12)</f>
        <v>64.166666666666671</v>
      </c>
      <c r="I125" s="10">
        <f>IF(Comparador_EV!$J$9="","",Comparador_EV!$J$9/12)</f>
        <v>466.66666666666669</v>
      </c>
      <c r="J125" s="10">
        <f>IF(OR(Comparador_EV!$J$10="",Comparador_EV!$J$11=""),"",(Comparador_EV!$J$10+Comparador_EV!$J$11)/12)</f>
        <v>381.17333333333335</v>
      </c>
      <c r="K125" s="10">
        <f t="shared" si="20"/>
        <v>1383.6426666666669</v>
      </c>
      <c r="L125" s="10">
        <f t="shared" si="21"/>
        <v>1383.6426666666669</v>
      </c>
      <c r="M125" s="10">
        <f>Dashboard!$H$12</f>
        <v>2304.5500000000002</v>
      </c>
      <c r="N125" s="10">
        <f t="shared" si="22"/>
        <v>-920.90733333333333</v>
      </c>
      <c r="O125" s="10">
        <f>INDEX(Financiamento_EV!$O$17:$O$136,A125)</f>
        <v>0</v>
      </c>
      <c r="P125" s="10">
        <f t="shared" si="23"/>
        <v>11768.182317706578</v>
      </c>
    </row>
    <row r="126" spans="1:16">
      <c r="A126">
        <v>116</v>
      </c>
      <c r="B126" s="62">
        <f>INDEX(Financiamento_EV!$B$17:$B$136,A126)</f>
        <v>49766</v>
      </c>
      <c r="C126" s="10">
        <f>INDEX(Financiamento_EV!$G$17:$G$136,A126)</f>
        <v>0</v>
      </c>
      <c r="D126" s="10">
        <f>INDEX(Financiamento_EV!$L$17:$L$136,A126)</f>
        <v>0</v>
      </c>
      <c r="E126" s="10">
        <f>INDEX(Financiamento_EV!$M$17:$M$136,A126)</f>
        <v>0</v>
      </c>
      <c r="F126" s="10">
        <f>INDEX(Financiamento_EV!$N$17:$N$136,A126)</f>
        <v>0</v>
      </c>
      <c r="G126" s="10">
        <f>IF(Comparador_EV!$J$8="","",Comparador_EV!$J$8/12)</f>
        <v>471.63600000000002</v>
      </c>
      <c r="H126" s="10">
        <f>IF(Comparador_EV!$J$12="","",Comparador_EV!$J$12/12)</f>
        <v>64.166666666666671</v>
      </c>
      <c r="I126" s="10">
        <f>IF(Comparador_EV!$J$9="","",Comparador_EV!$J$9/12)</f>
        <v>466.66666666666669</v>
      </c>
      <c r="J126" s="10">
        <f>IF(OR(Comparador_EV!$J$10="",Comparador_EV!$J$11=""),"",(Comparador_EV!$J$10+Comparador_EV!$J$11)/12)</f>
        <v>381.17333333333335</v>
      </c>
      <c r="K126" s="10">
        <f t="shared" si="20"/>
        <v>1383.6426666666669</v>
      </c>
      <c r="L126" s="10">
        <f t="shared" si="21"/>
        <v>1383.6426666666669</v>
      </c>
      <c r="M126" s="10">
        <f>Dashboard!$H$12</f>
        <v>2304.5500000000002</v>
      </c>
      <c r="N126" s="10">
        <f t="shared" si="22"/>
        <v>-920.90733333333333</v>
      </c>
      <c r="O126" s="10">
        <f>INDEX(Financiamento_EV!$O$17:$O$136,A126)</f>
        <v>0</v>
      </c>
      <c r="P126" s="10">
        <f t="shared" si="23"/>
        <v>10847.274984373245</v>
      </c>
    </row>
    <row r="127" spans="1:16">
      <c r="A127">
        <v>117</v>
      </c>
      <c r="B127" s="62">
        <f>INDEX(Financiamento_EV!$B$17:$B$136,A127)</f>
        <v>49796</v>
      </c>
      <c r="C127" s="10">
        <f>INDEX(Financiamento_EV!$G$17:$G$136,A127)</f>
        <v>0</v>
      </c>
      <c r="D127" s="10">
        <f>INDEX(Financiamento_EV!$L$17:$L$136,A127)</f>
        <v>0</v>
      </c>
      <c r="E127" s="10">
        <f>INDEX(Financiamento_EV!$M$17:$M$136,A127)</f>
        <v>0</v>
      </c>
      <c r="F127" s="10">
        <f>INDEX(Financiamento_EV!$N$17:$N$136,A127)</f>
        <v>0</v>
      </c>
      <c r="G127" s="10">
        <f>IF(Comparador_EV!$J$8="","",Comparador_EV!$J$8/12)</f>
        <v>471.63600000000002</v>
      </c>
      <c r="H127" s="10">
        <f>IF(Comparador_EV!$J$12="","",Comparador_EV!$J$12/12)</f>
        <v>64.166666666666671</v>
      </c>
      <c r="I127" s="10">
        <f>IF(Comparador_EV!$J$9="","",Comparador_EV!$J$9/12)</f>
        <v>466.66666666666669</v>
      </c>
      <c r="J127" s="10">
        <f>IF(OR(Comparador_EV!$J$10="",Comparador_EV!$J$11=""),"",(Comparador_EV!$J$10+Comparador_EV!$J$11)/12)</f>
        <v>381.17333333333335</v>
      </c>
      <c r="K127" s="10">
        <f t="shared" si="20"/>
        <v>1383.6426666666669</v>
      </c>
      <c r="L127" s="10">
        <f t="shared" si="21"/>
        <v>1383.6426666666669</v>
      </c>
      <c r="M127" s="10">
        <f>Dashboard!$H$12</f>
        <v>2304.5500000000002</v>
      </c>
      <c r="N127" s="10">
        <f t="shared" si="22"/>
        <v>-920.90733333333333</v>
      </c>
      <c r="O127" s="10">
        <f>INDEX(Financiamento_EV!$O$17:$O$136,A127)</f>
        <v>0</v>
      </c>
      <c r="P127" s="10">
        <f t="shared" si="23"/>
        <v>9926.3676510399127</v>
      </c>
    </row>
    <row r="128" spans="1:16">
      <c r="A128">
        <v>118</v>
      </c>
      <c r="B128" s="62">
        <f>INDEX(Financiamento_EV!$B$17:$B$136,A128)</f>
        <v>49827</v>
      </c>
      <c r="C128" s="10">
        <f>INDEX(Financiamento_EV!$G$17:$G$136,A128)</f>
        <v>0</v>
      </c>
      <c r="D128" s="10">
        <f>INDEX(Financiamento_EV!$L$17:$L$136,A128)</f>
        <v>0</v>
      </c>
      <c r="E128" s="10">
        <f>INDEX(Financiamento_EV!$M$17:$M$136,A128)</f>
        <v>0</v>
      </c>
      <c r="F128" s="10">
        <f>INDEX(Financiamento_EV!$N$17:$N$136,A128)</f>
        <v>0</v>
      </c>
      <c r="G128" s="10">
        <f>IF(Comparador_EV!$J$8="","",Comparador_EV!$J$8/12)</f>
        <v>471.63600000000002</v>
      </c>
      <c r="H128" s="10">
        <f>IF(Comparador_EV!$J$12="","",Comparador_EV!$J$12/12)</f>
        <v>64.166666666666671</v>
      </c>
      <c r="I128" s="10">
        <f>IF(Comparador_EV!$J$9="","",Comparador_EV!$J$9/12)</f>
        <v>466.66666666666669</v>
      </c>
      <c r="J128" s="10">
        <f>IF(OR(Comparador_EV!$J$10="",Comparador_EV!$J$11=""),"",(Comparador_EV!$J$10+Comparador_EV!$J$11)/12)</f>
        <v>381.17333333333335</v>
      </c>
      <c r="K128" s="10">
        <f t="shared" si="20"/>
        <v>1383.6426666666669</v>
      </c>
      <c r="L128" s="10">
        <f t="shared" si="21"/>
        <v>1383.6426666666669</v>
      </c>
      <c r="M128" s="10">
        <f>Dashboard!$H$12</f>
        <v>2304.5500000000002</v>
      </c>
      <c r="N128" s="10">
        <f t="shared" si="22"/>
        <v>-920.90733333333333</v>
      </c>
      <c r="O128" s="10">
        <f>INDEX(Financiamento_EV!$O$17:$O$136,A128)</f>
        <v>0</v>
      </c>
      <c r="P128" s="10">
        <f t="shared" si="23"/>
        <v>9005.4603177065801</v>
      </c>
    </row>
    <row r="129" spans="1:16">
      <c r="A129">
        <v>119</v>
      </c>
      <c r="B129" s="62">
        <f>INDEX(Financiamento_EV!$B$17:$B$136,A129)</f>
        <v>49857</v>
      </c>
      <c r="C129" s="10">
        <f>INDEX(Financiamento_EV!$G$17:$G$136,A129)</f>
        <v>0</v>
      </c>
      <c r="D129" s="10">
        <f>INDEX(Financiamento_EV!$L$17:$L$136,A129)</f>
        <v>0</v>
      </c>
      <c r="E129" s="10">
        <f>INDEX(Financiamento_EV!$M$17:$M$136,A129)</f>
        <v>0</v>
      </c>
      <c r="F129" s="10">
        <f>INDEX(Financiamento_EV!$N$17:$N$136,A129)</f>
        <v>0</v>
      </c>
      <c r="G129" s="10">
        <f>IF(Comparador_EV!$J$8="","",Comparador_EV!$J$8/12)</f>
        <v>471.63600000000002</v>
      </c>
      <c r="H129" s="10">
        <f>IF(Comparador_EV!$J$12="","",Comparador_EV!$J$12/12)</f>
        <v>64.166666666666671</v>
      </c>
      <c r="I129" s="10">
        <f>IF(Comparador_EV!$J$9="","",Comparador_EV!$J$9/12)</f>
        <v>466.66666666666669</v>
      </c>
      <c r="J129" s="10">
        <f>IF(OR(Comparador_EV!$J$10="",Comparador_EV!$J$11=""),"",(Comparador_EV!$J$10+Comparador_EV!$J$11)/12)</f>
        <v>381.17333333333335</v>
      </c>
      <c r="K129" s="10">
        <f t="shared" si="20"/>
        <v>1383.6426666666669</v>
      </c>
      <c r="L129" s="10">
        <f t="shared" si="21"/>
        <v>1383.6426666666669</v>
      </c>
      <c r="M129" s="10">
        <f>Dashboard!$H$12</f>
        <v>2304.5500000000002</v>
      </c>
      <c r="N129" s="10">
        <f t="shared" si="22"/>
        <v>-920.90733333333333</v>
      </c>
      <c r="O129" s="10">
        <f>INDEX(Financiamento_EV!$O$17:$O$136,A129)</f>
        <v>0</v>
      </c>
      <c r="P129" s="10">
        <f t="shared" si="23"/>
        <v>8084.5529843732465</v>
      </c>
    </row>
    <row r="130" spans="1:16">
      <c r="A130">
        <v>120</v>
      </c>
      <c r="B130" s="62">
        <f>INDEX(Financiamento_EV!$B$17:$B$136,A130)</f>
        <v>49888</v>
      </c>
      <c r="C130" s="10">
        <f>INDEX(Financiamento_EV!$G$17:$G$136,A130)</f>
        <v>0</v>
      </c>
      <c r="D130" s="10">
        <f>INDEX(Financiamento_EV!$L$17:$L$136,A130)</f>
        <v>0</v>
      </c>
      <c r="E130" s="10">
        <f>INDEX(Financiamento_EV!$M$17:$M$136,A130)</f>
        <v>0</v>
      </c>
      <c r="F130" s="10">
        <f>INDEX(Financiamento_EV!$N$17:$N$136,A130)</f>
        <v>0</v>
      </c>
      <c r="G130" s="10">
        <f>IF(Comparador_EV!$J$8="","",Comparador_EV!$J$8/12)</f>
        <v>471.63600000000002</v>
      </c>
      <c r="H130" s="10">
        <f>IF(Comparador_EV!$J$12="","",Comparador_EV!$J$12/12)</f>
        <v>64.166666666666671</v>
      </c>
      <c r="I130" s="10">
        <f>IF(Comparador_EV!$J$9="","",Comparador_EV!$J$9/12)</f>
        <v>466.66666666666669</v>
      </c>
      <c r="J130" s="10">
        <f>IF(OR(Comparador_EV!$J$10="",Comparador_EV!$J$11=""),"",(Comparador_EV!$J$10+Comparador_EV!$J$11)/12)</f>
        <v>381.17333333333335</v>
      </c>
      <c r="K130" s="10">
        <f t="shared" si="20"/>
        <v>1383.6426666666669</v>
      </c>
      <c r="L130" s="10">
        <f t="shared" si="21"/>
        <v>1383.6426666666669</v>
      </c>
      <c r="M130" s="10">
        <f>Dashboard!$H$12</f>
        <v>2304.5500000000002</v>
      </c>
      <c r="N130" s="10">
        <f t="shared" si="22"/>
        <v>-920.90733333333333</v>
      </c>
      <c r="O130" s="10">
        <f>INDEX(Financiamento_EV!$O$17:$O$136,A130)</f>
        <v>0</v>
      </c>
      <c r="P130" s="10">
        <f t="shared" si="23"/>
        <v>7163.645651039913</v>
      </c>
    </row>
  </sheetData>
  <mergeCells count="3">
    <mergeCell ref="A1:P1"/>
    <mergeCell ref="A2:P2"/>
    <mergeCell ref="A8:P8"/>
  </mergeCells>
  <conditionalFormatting sqref="N11:N130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0"/>
  <sheetViews>
    <sheetView workbookViewId="0">
      <selection activeCell="F11" sqref="F11"/>
    </sheetView>
  </sheetViews>
  <sheetFormatPr defaultRowHeight="13.5"/>
  <cols>
    <col min="1" max="1" width="35" customWidth="1"/>
    <col min="2" max="2" width="16.8125" customWidth="1"/>
    <col min="3" max="3" width="7" customWidth="1"/>
    <col min="4" max="4" width="10.375" customWidth="1"/>
    <col min="5" max="5" width="20.1875" customWidth="1"/>
    <col min="6" max="6" width="48" customWidth="1"/>
  </cols>
  <sheetData>
    <row r="1" spans="1:6" ht="15" customHeight="1">
      <c r="A1" s="201" t="s">
        <v>447</v>
      </c>
      <c r="B1" s="201"/>
      <c r="C1" s="201"/>
      <c r="D1" s="201"/>
      <c r="E1" s="201"/>
      <c r="F1" s="201"/>
    </row>
    <row r="3" spans="1:6" ht="13.9">
      <c r="A3" s="214" t="s">
        <v>448</v>
      </c>
      <c r="B3" s="214"/>
      <c r="C3" s="214"/>
      <c r="D3" s="214"/>
      <c r="E3" s="214"/>
      <c r="F3" s="214"/>
    </row>
    <row r="5" spans="1:6" ht="13.9">
      <c r="A5" s="202" t="s">
        <v>449</v>
      </c>
      <c r="B5" s="202"/>
      <c r="C5" s="202"/>
      <c r="D5" s="202"/>
      <c r="E5" s="202"/>
      <c r="F5" s="202"/>
    </row>
    <row r="6" spans="1:6" ht="13.9">
      <c r="A6" s="41" t="s">
        <v>70</v>
      </c>
      <c r="B6" s="41" t="s">
        <v>67</v>
      </c>
      <c r="C6" s="41" t="s">
        <v>71</v>
      </c>
      <c r="D6" s="41" t="s">
        <v>450</v>
      </c>
      <c r="E6" s="41" t="s">
        <v>451</v>
      </c>
      <c r="F6" s="41" t="s">
        <v>167</v>
      </c>
    </row>
    <row r="7" spans="1:6">
      <c r="A7" t="s">
        <v>452</v>
      </c>
      <c r="B7" s="13">
        <v>46278</v>
      </c>
      <c r="C7" t="s">
        <v>139</v>
      </c>
      <c r="D7" t="s">
        <v>453</v>
      </c>
      <c r="E7" t="s">
        <v>454</v>
      </c>
      <c r="F7" t="s">
        <v>455</v>
      </c>
    </row>
    <row r="8" spans="1:6">
      <c r="A8" t="s">
        <v>456</v>
      </c>
      <c r="B8" s="24">
        <v>21438</v>
      </c>
      <c r="C8" t="s">
        <v>107</v>
      </c>
      <c r="D8" t="s">
        <v>43</v>
      </c>
      <c r="E8" t="s">
        <v>457</v>
      </c>
      <c r="F8" t="s">
        <v>458</v>
      </c>
    </row>
    <row r="9" spans="1:6">
      <c r="A9" t="s">
        <v>16</v>
      </c>
      <c r="B9" s="10">
        <v>10858.57</v>
      </c>
      <c r="C9" t="s">
        <v>6</v>
      </c>
      <c r="D9" t="s">
        <v>43</v>
      </c>
      <c r="E9" t="s">
        <v>459</v>
      </c>
      <c r="F9" t="s">
        <v>74</v>
      </c>
    </row>
    <row r="10" spans="1:6">
      <c r="A10" t="s">
        <v>14</v>
      </c>
      <c r="B10" s="10">
        <v>3516.24</v>
      </c>
      <c r="C10" t="s">
        <v>6</v>
      </c>
      <c r="D10" t="s">
        <v>453</v>
      </c>
      <c r="E10" t="s">
        <v>460</v>
      </c>
      <c r="F10" t="s">
        <v>461</v>
      </c>
    </row>
    <row r="11" spans="1:6">
      <c r="A11" t="s">
        <v>24</v>
      </c>
      <c r="B11" s="10">
        <v>1404.88</v>
      </c>
      <c r="C11" t="s">
        <v>6</v>
      </c>
      <c r="D11" t="s">
        <v>462</v>
      </c>
      <c r="E11" t="s">
        <v>463</v>
      </c>
      <c r="F11" t="s">
        <v>464</v>
      </c>
    </row>
    <row r="12" spans="1:6">
      <c r="A12" t="s">
        <v>28</v>
      </c>
      <c r="B12" s="10">
        <v>174.08</v>
      </c>
      <c r="C12" t="s">
        <v>6</v>
      </c>
      <c r="D12" t="s">
        <v>29</v>
      </c>
      <c r="E12" t="s">
        <v>465</v>
      </c>
    </row>
    <row r="13" spans="1:6">
      <c r="A13" t="s">
        <v>466</v>
      </c>
      <c r="B13" s="10">
        <v>8739.4599999999991</v>
      </c>
      <c r="C13" t="s">
        <v>6</v>
      </c>
      <c r="D13" t="s">
        <v>53</v>
      </c>
      <c r="E13" t="s">
        <v>45</v>
      </c>
    </row>
    <row r="14" spans="1:6">
      <c r="A14" s="43" t="s">
        <v>467</v>
      </c>
      <c r="B14" s="44">
        <v>11700.83</v>
      </c>
      <c r="C14" s="43" t="s">
        <v>6</v>
      </c>
      <c r="D14" s="43" t="s">
        <v>49</v>
      </c>
      <c r="E14" s="43" t="s">
        <v>468</v>
      </c>
      <c r="F14" s="43" t="s">
        <v>469</v>
      </c>
    </row>
    <row r="15" spans="1:6">
      <c r="A15" s="25" t="s">
        <v>470</v>
      </c>
      <c r="B15" s="20">
        <v>15295.73</v>
      </c>
      <c r="C15" s="25" t="s">
        <v>6</v>
      </c>
      <c r="D15" s="25" t="s">
        <v>53</v>
      </c>
      <c r="E15" s="25" t="s">
        <v>57</v>
      </c>
      <c r="F15" s="25" t="s">
        <v>471</v>
      </c>
    </row>
    <row r="16" spans="1:6">
      <c r="A16" t="s">
        <v>472</v>
      </c>
      <c r="B16" s="10">
        <v>27654.6</v>
      </c>
      <c r="C16" t="s">
        <v>6</v>
      </c>
      <c r="D16" t="s">
        <v>49</v>
      </c>
      <c r="E16" t="s">
        <v>473</v>
      </c>
    </row>
    <row r="17" spans="1:6">
      <c r="A17" t="s">
        <v>474</v>
      </c>
      <c r="B17" s="10">
        <v>2304.5500000000002</v>
      </c>
      <c r="C17" t="s">
        <v>110</v>
      </c>
      <c r="D17" t="s">
        <v>49</v>
      </c>
      <c r="E17" t="s">
        <v>475</v>
      </c>
    </row>
    <row r="18" spans="1:6">
      <c r="A18" t="s">
        <v>476</v>
      </c>
      <c r="B18" s="10">
        <v>2397.16</v>
      </c>
      <c r="C18" t="s">
        <v>110</v>
      </c>
      <c r="D18" t="s">
        <v>49</v>
      </c>
      <c r="E18" t="s">
        <v>477</v>
      </c>
      <c r="F18" t="s">
        <v>478</v>
      </c>
    </row>
    <row r="19" spans="1:6" ht="13.9">
      <c r="A19" s="200"/>
      <c r="B19" s="200"/>
      <c r="C19" s="200"/>
      <c r="D19" s="200"/>
      <c r="E19" s="200"/>
      <c r="F19" s="200"/>
    </row>
    <row r="20" spans="1:6" ht="13.9">
      <c r="A20" s="202" t="s">
        <v>479</v>
      </c>
      <c r="B20" s="202"/>
      <c r="C20" s="202"/>
      <c r="D20" s="202"/>
      <c r="E20" s="202"/>
      <c r="F20" s="202"/>
    </row>
    <row r="21" spans="1:6" ht="337.5">
      <c r="A21" s="45" t="s">
        <v>480</v>
      </c>
      <c r="B21" s="46"/>
      <c r="C21" s="45"/>
      <c r="D21" s="45"/>
      <c r="E21" s="45"/>
      <c r="F21" s="45"/>
    </row>
    <row r="22" spans="1:6">
      <c r="A22" s="45"/>
      <c r="B22" s="46"/>
      <c r="C22" s="45"/>
      <c r="D22" s="45"/>
      <c r="E22" s="45"/>
      <c r="F22" s="45"/>
    </row>
    <row r="23" spans="1:6">
      <c r="A23" s="45"/>
      <c r="B23" s="45"/>
      <c r="C23" s="45"/>
      <c r="D23" s="45"/>
      <c r="E23" s="45"/>
      <c r="F23" s="45"/>
    </row>
    <row r="24" spans="1:6">
      <c r="A24" s="45"/>
      <c r="B24" s="45"/>
      <c r="C24" s="45"/>
      <c r="D24" s="45"/>
      <c r="E24" s="45"/>
      <c r="F24" s="45"/>
    </row>
    <row r="25" spans="1:6">
      <c r="A25" s="45"/>
      <c r="B25" s="45"/>
      <c r="C25" s="45"/>
      <c r="D25" s="45"/>
      <c r="E25" s="45"/>
      <c r="F25" s="45"/>
    </row>
    <row r="26" spans="1:6">
      <c r="A26" s="45"/>
      <c r="B26" s="46"/>
      <c r="C26" s="45"/>
      <c r="D26" s="45"/>
      <c r="E26" s="45"/>
      <c r="F26" s="45"/>
    </row>
    <row r="27" spans="1:6">
      <c r="A27" s="45"/>
      <c r="B27" s="45"/>
      <c r="C27" s="45"/>
      <c r="D27" s="45"/>
      <c r="E27" s="45"/>
      <c r="F27" s="45"/>
    </row>
    <row r="28" spans="1:6">
      <c r="A28" s="45"/>
      <c r="B28" s="45"/>
      <c r="C28" s="45"/>
      <c r="D28" s="45"/>
      <c r="E28" s="45"/>
      <c r="F28" s="45"/>
    </row>
    <row r="29" spans="1:6">
      <c r="A29" s="45"/>
      <c r="B29" s="45"/>
      <c r="C29" s="45"/>
      <c r="D29" s="45"/>
      <c r="E29" s="45"/>
      <c r="F29" s="45"/>
    </row>
    <row r="30" spans="1:6">
      <c r="A30" s="45"/>
      <c r="B30" s="45"/>
      <c r="C30" s="45"/>
      <c r="D30" s="45"/>
      <c r="E30" s="45"/>
      <c r="F30" s="45"/>
    </row>
    <row r="31" spans="1:6" ht="13.9">
      <c r="A31" s="215"/>
      <c r="B31" s="215"/>
      <c r="C31" s="215"/>
      <c r="D31" s="215"/>
      <c r="E31" s="215"/>
      <c r="F31" s="215"/>
    </row>
    <row r="32" spans="1:6">
      <c r="A32" s="216"/>
      <c r="B32" s="216"/>
      <c r="C32" s="216"/>
      <c r="D32" s="216"/>
      <c r="E32" s="216"/>
      <c r="F32" s="216"/>
    </row>
    <row r="33" spans="1:6">
      <c r="A33" s="217" t="s">
        <v>481</v>
      </c>
      <c r="B33" s="217"/>
      <c r="C33" s="217"/>
      <c r="D33" s="217"/>
      <c r="E33" s="217"/>
      <c r="F33" s="217"/>
    </row>
    <row r="34" spans="1:6">
      <c r="A34" s="217"/>
      <c r="B34" s="217"/>
      <c r="C34" s="217"/>
      <c r="D34" s="217"/>
      <c r="E34" s="217"/>
      <c r="F34" s="217"/>
    </row>
    <row r="35" spans="1:6">
      <c r="A35" s="217"/>
      <c r="B35" s="217"/>
      <c r="C35" s="217"/>
      <c r="D35" s="217"/>
      <c r="E35" s="217"/>
      <c r="F35" s="217"/>
    </row>
    <row r="36" spans="1:6">
      <c r="A36" s="217"/>
      <c r="B36" s="217"/>
      <c r="C36" s="217"/>
      <c r="D36" s="217"/>
      <c r="E36" s="217"/>
      <c r="F36" s="217"/>
    </row>
    <row r="37" spans="1:6">
      <c r="A37" s="216"/>
      <c r="B37" s="216"/>
      <c r="C37" s="216"/>
      <c r="D37" s="216"/>
      <c r="E37" s="216"/>
      <c r="F37" s="216"/>
    </row>
    <row r="38" spans="1:6">
      <c r="A38" s="216"/>
      <c r="B38" s="216"/>
      <c r="C38" s="216"/>
      <c r="D38" s="216"/>
      <c r="E38" s="216"/>
      <c r="F38" s="216"/>
    </row>
    <row r="39" spans="1:6">
      <c r="A39" s="216"/>
      <c r="B39" s="216"/>
      <c r="C39" s="216"/>
      <c r="D39" s="216"/>
      <c r="E39" s="216"/>
      <c r="F39" s="216"/>
    </row>
    <row r="40" spans="1:6">
      <c r="A40" s="216"/>
      <c r="B40" s="216"/>
      <c r="C40" s="216"/>
      <c r="D40" s="216"/>
      <c r="E40" s="216"/>
      <c r="F40" s="216"/>
    </row>
  </sheetData>
  <mergeCells count="7">
    <mergeCell ref="A3:F3"/>
    <mergeCell ref="A19:F19"/>
    <mergeCell ref="A31:F31"/>
    <mergeCell ref="A32:F40"/>
    <mergeCell ref="A1:F1"/>
    <mergeCell ref="A5:F5"/>
    <mergeCell ref="A20:F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C21" sqref="C21"/>
    </sheetView>
  </sheetViews>
  <sheetFormatPr defaultRowHeight="13.5"/>
  <cols>
    <col min="1" max="1" width="34.0625" customWidth="1"/>
    <col min="2" max="2" width="16" customWidth="1"/>
    <col min="3" max="3" width="14" customWidth="1"/>
    <col min="4" max="4" width="18" customWidth="1"/>
    <col min="5" max="5" width="53.9375" customWidth="1"/>
  </cols>
  <sheetData>
    <row r="1" spans="1:5" ht="15" customHeight="1">
      <c r="A1" s="201" t="s">
        <v>92</v>
      </c>
      <c r="B1" s="201"/>
      <c r="C1" s="201"/>
      <c r="D1" s="201"/>
      <c r="E1" s="201"/>
    </row>
    <row r="3" spans="1:5" ht="13.9">
      <c r="A3" s="33" t="s">
        <v>93</v>
      </c>
      <c r="B3" s="33" t="s">
        <v>67</v>
      </c>
      <c r="C3" s="33" t="s">
        <v>71</v>
      </c>
      <c r="D3" s="33" t="s">
        <v>94</v>
      </c>
      <c r="E3" s="33" t="s">
        <v>95</v>
      </c>
    </row>
    <row r="4" spans="1:5">
      <c r="A4" s="2" t="s">
        <v>96</v>
      </c>
      <c r="B4" s="3">
        <v>204860</v>
      </c>
      <c r="C4" s="2" t="s">
        <v>97</v>
      </c>
      <c r="D4" s="2" t="s">
        <v>98</v>
      </c>
      <c r="E4" s="2" t="s">
        <v>99</v>
      </c>
    </row>
    <row r="5" spans="1:5">
      <c r="A5" s="2" t="s">
        <v>100</v>
      </c>
      <c r="B5" s="3">
        <v>226298</v>
      </c>
      <c r="C5" s="2" t="s">
        <v>97</v>
      </c>
      <c r="D5" s="2" t="s">
        <v>98</v>
      </c>
      <c r="E5" s="2" t="s">
        <v>101</v>
      </c>
    </row>
    <row r="6" spans="1:5">
      <c r="A6" s="2" t="s">
        <v>102</v>
      </c>
      <c r="B6" s="3">
        <v>365</v>
      </c>
      <c r="C6" s="2" t="s">
        <v>103</v>
      </c>
      <c r="D6" s="2" t="s">
        <v>104</v>
      </c>
      <c r="E6" s="2" t="s">
        <v>105</v>
      </c>
    </row>
    <row r="7" spans="1:5">
      <c r="A7" s="2" t="s">
        <v>106</v>
      </c>
      <c r="B7" s="4">
        <f>B5-B4</f>
        <v>21438</v>
      </c>
      <c r="C7" s="2" t="s">
        <v>107</v>
      </c>
      <c r="D7" s="2" t="s">
        <v>104</v>
      </c>
      <c r="E7" s="2" t="s">
        <v>108</v>
      </c>
    </row>
    <row r="8" spans="1:5">
      <c r="A8" s="2" t="s">
        <v>109</v>
      </c>
      <c r="B8" s="5">
        <v>293.02</v>
      </c>
      <c r="C8" s="2" t="s">
        <v>110</v>
      </c>
      <c r="D8" s="2" t="s">
        <v>111</v>
      </c>
      <c r="E8" s="2" t="s">
        <v>112</v>
      </c>
    </row>
    <row r="9" spans="1:5">
      <c r="A9" s="2" t="s">
        <v>113</v>
      </c>
      <c r="B9" s="6">
        <f>B8*12</f>
        <v>3516.24</v>
      </c>
      <c r="C9" s="2" t="s">
        <v>6</v>
      </c>
      <c r="D9" s="2" t="s">
        <v>104</v>
      </c>
      <c r="E9" s="2" t="s">
        <v>114</v>
      </c>
    </row>
    <row r="10" spans="1:5">
      <c r="A10" s="2" t="s">
        <v>115</v>
      </c>
      <c r="B10" s="5">
        <v>35122</v>
      </c>
      <c r="C10" s="2" t="s">
        <v>116</v>
      </c>
      <c r="D10" s="2" t="s">
        <v>61</v>
      </c>
      <c r="E10" s="2" t="s">
        <v>117</v>
      </c>
    </row>
    <row r="11" spans="1:5">
      <c r="A11" s="2" t="s">
        <v>118</v>
      </c>
      <c r="B11" s="5">
        <v>37044</v>
      </c>
      <c r="C11" s="2" t="s">
        <v>116</v>
      </c>
      <c r="D11" s="2" t="s">
        <v>61</v>
      </c>
      <c r="E11" s="2" t="s">
        <v>117</v>
      </c>
    </row>
    <row r="12" spans="1:5">
      <c r="A12" s="2" t="s">
        <v>119</v>
      </c>
      <c r="B12" s="8">
        <v>0.04</v>
      </c>
      <c r="C12" s="2" t="s">
        <v>68</v>
      </c>
      <c r="D12" s="2" t="s">
        <v>61</v>
      </c>
      <c r="E12" s="2" t="s">
        <v>117</v>
      </c>
    </row>
    <row r="13" spans="1:5" ht="27">
      <c r="A13" s="2" t="s">
        <v>120</v>
      </c>
      <c r="B13" s="6">
        <f>B10*B12</f>
        <v>1404.88</v>
      </c>
      <c r="C13" s="2" t="s">
        <v>6</v>
      </c>
      <c r="D13" s="2" t="s">
        <v>104</v>
      </c>
      <c r="E13" s="2" t="s">
        <v>121</v>
      </c>
    </row>
    <row r="14" spans="1:5">
      <c r="A14" s="2" t="s">
        <v>122</v>
      </c>
      <c r="B14" s="5">
        <v>174.08</v>
      </c>
      <c r="C14" s="2" t="s">
        <v>6</v>
      </c>
      <c r="D14" s="2" t="s">
        <v>61</v>
      </c>
      <c r="E14" s="2" t="s">
        <v>123</v>
      </c>
    </row>
    <row r="15" spans="1:5">
      <c r="A15" s="2" t="s">
        <v>124</v>
      </c>
      <c r="B15" s="5">
        <v>3.89</v>
      </c>
      <c r="C15" s="2" t="s">
        <v>75</v>
      </c>
      <c r="D15" s="2" t="s">
        <v>125</v>
      </c>
      <c r="E15" s="2" t="s">
        <v>126</v>
      </c>
    </row>
    <row r="16" spans="1:5">
      <c r="A16" s="2" t="s">
        <v>127</v>
      </c>
      <c r="B16" s="5">
        <v>6.29</v>
      </c>
      <c r="C16" s="2" t="s">
        <v>75</v>
      </c>
      <c r="D16" s="2" t="s">
        <v>125</v>
      </c>
      <c r="E16" s="2" t="s">
        <v>126</v>
      </c>
    </row>
    <row r="17" spans="1:5">
      <c r="A17" s="2" t="s">
        <v>128</v>
      </c>
      <c r="B17" s="7">
        <v>7.68</v>
      </c>
      <c r="C17" s="2" t="s">
        <v>87</v>
      </c>
      <c r="D17" s="2" t="s">
        <v>98</v>
      </c>
      <c r="E17" s="2" t="s">
        <v>129</v>
      </c>
    </row>
    <row r="18" spans="1:5">
      <c r="A18" s="2" t="s">
        <v>130</v>
      </c>
      <c r="B18" s="7">
        <v>9.5299999999999994</v>
      </c>
      <c r="C18" s="2" t="s">
        <v>87</v>
      </c>
      <c r="D18" s="2" t="s">
        <v>98</v>
      </c>
      <c r="E18" s="2" t="s">
        <v>129</v>
      </c>
    </row>
    <row r="19" spans="1:5">
      <c r="A19" s="30" t="s">
        <v>131</v>
      </c>
      <c r="B19" s="31">
        <v>3</v>
      </c>
      <c r="C19" s="30" t="s">
        <v>132</v>
      </c>
      <c r="D19" s="30" t="s">
        <v>133</v>
      </c>
      <c r="E19" s="30" t="s">
        <v>134</v>
      </c>
    </row>
    <row r="20" spans="1:5">
      <c r="A20" s="30" t="s">
        <v>135</v>
      </c>
      <c r="B20" s="32">
        <v>0.03</v>
      </c>
      <c r="C20" s="30" t="s">
        <v>136</v>
      </c>
      <c r="D20" s="30" t="s">
        <v>133</v>
      </c>
      <c r="E20" s="30" t="s">
        <v>137</v>
      </c>
    </row>
    <row r="21" spans="1:5">
      <c r="A21" s="2" t="s">
        <v>138</v>
      </c>
      <c r="B21" s="34">
        <v>46278</v>
      </c>
      <c r="C21" s="2" t="s">
        <v>139</v>
      </c>
      <c r="D21" s="2" t="s">
        <v>98</v>
      </c>
      <c r="E21" s="2" t="s">
        <v>140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>
      <selection sqref="A1:G1"/>
    </sheetView>
  </sheetViews>
  <sheetFormatPr defaultRowHeight="13.5"/>
  <cols>
    <col min="1" max="1" width="26.625" bestFit="1" customWidth="1"/>
    <col min="2" max="7" width="16.9375" customWidth="1"/>
  </cols>
  <sheetData>
    <row r="1" spans="1:7" ht="15" customHeight="1">
      <c r="A1" s="201" t="s">
        <v>141</v>
      </c>
      <c r="B1" s="201"/>
      <c r="C1" s="201"/>
      <c r="D1" s="201"/>
      <c r="E1" s="201"/>
      <c r="F1" s="201"/>
      <c r="G1" s="201"/>
    </row>
    <row r="2" spans="1:7">
      <c r="A2" s="218" t="s">
        <v>142</v>
      </c>
      <c r="B2" s="218"/>
      <c r="C2" s="218"/>
      <c r="D2" s="218"/>
      <c r="E2" s="218"/>
      <c r="F2" s="218"/>
      <c r="G2" s="218"/>
    </row>
    <row r="3" spans="1:7" ht="13.9">
      <c r="A3" s="1"/>
      <c r="B3" s="1"/>
      <c r="C3" s="1"/>
      <c r="D3" s="1"/>
      <c r="E3" s="1"/>
      <c r="F3" s="1"/>
      <c r="G3" s="1"/>
    </row>
    <row r="4" spans="1:7" ht="13.9">
      <c r="A4" s="29" t="s">
        <v>143</v>
      </c>
      <c r="B4" s="35" t="s">
        <v>7</v>
      </c>
      <c r="C4" s="35" t="s">
        <v>144</v>
      </c>
      <c r="D4" s="35" t="s">
        <v>14</v>
      </c>
      <c r="E4" s="35" t="s">
        <v>145</v>
      </c>
      <c r="F4" s="35" t="s">
        <v>146</v>
      </c>
      <c r="G4" s="35" t="s">
        <v>147</v>
      </c>
    </row>
    <row r="5" spans="1:7">
      <c r="A5" t="s">
        <v>148</v>
      </c>
      <c r="B5" s="10">
        <v>1209.1610000000001</v>
      </c>
      <c r="C5" s="10">
        <v>3693</v>
      </c>
      <c r="D5" s="10">
        <v>293.02</v>
      </c>
      <c r="E5" s="10">
        <v>117.07333333333334</v>
      </c>
      <c r="F5" s="10">
        <v>14.506666666666668</v>
      </c>
      <c r="G5" s="10">
        <f t="shared" ref="G5:G16" si="0">SUM(B5:F5)</f>
        <v>5326.7610000000013</v>
      </c>
    </row>
    <row r="6" spans="1:7">
      <c r="A6" t="s">
        <v>149</v>
      </c>
      <c r="B6" s="10">
        <v>1199.3440000000003</v>
      </c>
      <c r="C6" s="10">
        <v>0</v>
      </c>
      <c r="D6" s="10">
        <v>293.02</v>
      </c>
      <c r="E6" s="10">
        <v>117.07333333333334</v>
      </c>
      <c r="F6" s="10">
        <v>14.506666666666668</v>
      </c>
      <c r="G6" s="10">
        <f t="shared" si="0"/>
        <v>1623.9440000000002</v>
      </c>
    </row>
    <row r="7" spans="1:7">
      <c r="A7" t="s">
        <v>150</v>
      </c>
      <c r="B7" s="10">
        <v>1067.6610000000001</v>
      </c>
      <c r="C7" s="10">
        <v>0</v>
      </c>
      <c r="D7" s="10">
        <v>293.02</v>
      </c>
      <c r="E7" s="10">
        <v>117.07333333333334</v>
      </c>
      <c r="F7" s="10">
        <v>14.506666666666668</v>
      </c>
      <c r="G7" s="10">
        <f t="shared" si="0"/>
        <v>1492.261</v>
      </c>
    </row>
    <row r="8" spans="1:7">
      <c r="A8" t="s">
        <v>151</v>
      </c>
      <c r="B8" s="10">
        <v>919.53</v>
      </c>
      <c r="C8" s="10">
        <v>0</v>
      </c>
      <c r="D8" s="10">
        <v>293.02</v>
      </c>
      <c r="E8" s="10">
        <v>117.07333333333334</v>
      </c>
      <c r="F8" s="10">
        <v>14.506666666666668</v>
      </c>
      <c r="G8" s="10">
        <f t="shared" si="0"/>
        <v>1344.1299999999999</v>
      </c>
    </row>
    <row r="9" spans="1:7">
      <c r="A9" t="s">
        <v>152</v>
      </c>
      <c r="B9" s="10">
        <v>981</v>
      </c>
      <c r="C9" s="10">
        <v>0</v>
      </c>
      <c r="D9" s="10">
        <v>293.02</v>
      </c>
      <c r="E9" s="10">
        <v>117.07333333333334</v>
      </c>
      <c r="F9" s="10">
        <v>14.506666666666668</v>
      </c>
      <c r="G9" s="10">
        <f t="shared" si="0"/>
        <v>1405.6</v>
      </c>
    </row>
    <row r="10" spans="1:7">
      <c r="A10" t="s">
        <v>153</v>
      </c>
      <c r="B10" s="10">
        <v>1239.23</v>
      </c>
      <c r="C10" s="10">
        <v>6980</v>
      </c>
      <c r="D10" s="10">
        <v>293.02</v>
      </c>
      <c r="E10" s="10">
        <v>117.07333333333334</v>
      </c>
      <c r="F10" s="10">
        <v>14.506666666666668</v>
      </c>
      <c r="G10" s="10">
        <f t="shared" si="0"/>
        <v>8643.83</v>
      </c>
    </row>
    <row r="11" spans="1:7">
      <c r="A11" t="s">
        <v>154</v>
      </c>
      <c r="B11" s="10">
        <v>910.64699999999993</v>
      </c>
      <c r="C11" s="10">
        <v>0</v>
      </c>
      <c r="D11" s="10">
        <v>293.02</v>
      </c>
      <c r="E11" s="10">
        <v>117.07333333333334</v>
      </c>
      <c r="F11" s="10">
        <v>14.506666666666668</v>
      </c>
      <c r="G11" s="10">
        <f t="shared" si="0"/>
        <v>1335.2469999999998</v>
      </c>
    </row>
    <row r="12" spans="1:7">
      <c r="A12" t="s">
        <v>155</v>
      </c>
      <c r="B12" s="10">
        <v>1592.5060000000001</v>
      </c>
      <c r="C12" s="10">
        <v>300</v>
      </c>
      <c r="D12" s="10">
        <v>293.02</v>
      </c>
      <c r="E12" s="10">
        <v>117.07333333333334</v>
      </c>
      <c r="F12" s="10">
        <v>14.506666666666668</v>
      </c>
      <c r="G12" s="10">
        <f t="shared" si="0"/>
        <v>2317.1059999999998</v>
      </c>
    </row>
    <row r="13" spans="1:7">
      <c r="A13" t="s">
        <v>156</v>
      </c>
      <c r="B13" s="10">
        <v>938.19800000000009</v>
      </c>
      <c r="C13" s="10">
        <v>4089.6</v>
      </c>
      <c r="D13" s="10">
        <v>293.02</v>
      </c>
      <c r="E13" s="10">
        <v>117.07333333333334</v>
      </c>
      <c r="F13" s="10">
        <v>14.506666666666668</v>
      </c>
      <c r="G13" s="10">
        <f t="shared" si="0"/>
        <v>5452.3980000000001</v>
      </c>
    </row>
    <row r="14" spans="1:7">
      <c r="A14" t="s">
        <v>157</v>
      </c>
      <c r="B14" s="10">
        <v>751.47399999999993</v>
      </c>
      <c r="C14" s="10">
        <v>1431</v>
      </c>
      <c r="D14" s="10">
        <v>293.02</v>
      </c>
      <c r="E14" s="10">
        <v>117.07333333333334</v>
      </c>
      <c r="F14" s="10">
        <v>14.506666666666668</v>
      </c>
      <c r="G14" s="10">
        <f t="shared" si="0"/>
        <v>2607.0740000000001</v>
      </c>
    </row>
    <row r="15" spans="1:7">
      <c r="A15" t="s">
        <v>158</v>
      </c>
      <c r="B15" s="10">
        <v>1443.7859999999998</v>
      </c>
      <c r="C15" s="10">
        <v>0</v>
      </c>
      <c r="D15" s="10">
        <v>293.02</v>
      </c>
      <c r="E15" s="10">
        <v>117.07333333333334</v>
      </c>
      <c r="F15" s="10">
        <v>14.506666666666668</v>
      </c>
      <c r="G15" s="10">
        <f t="shared" si="0"/>
        <v>1868.3859999999997</v>
      </c>
    </row>
    <row r="16" spans="1:7">
      <c r="A16" t="s">
        <v>159</v>
      </c>
      <c r="B16" s="10">
        <v>539.28700000000003</v>
      </c>
      <c r="C16" s="10">
        <v>1288.8600000000001</v>
      </c>
      <c r="D16" s="10">
        <v>293.02</v>
      </c>
      <c r="E16" s="10">
        <v>117.07333333333334</v>
      </c>
      <c r="F16" s="10">
        <v>14.506666666666668</v>
      </c>
      <c r="G16" s="10">
        <f t="shared" si="0"/>
        <v>2252.7470000000003</v>
      </c>
    </row>
    <row r="17" spans="1:7" ht="13.9">
      <c r="A17" s="11"/>
      <c r="B17" s="12"/>
      <c r="C17" s="12"/>
      <c r="D17" s="12"/>
      <c r="E17" s="12"/>
      <c r="F17" s="12"/>
      <c r="G17" s="12"/>
    </row>
    <row r="18" spans="1:7" ht="13.9">
      <c r="A18" s="37" t="s">
        <v>160</v>
      </c>
      <c r="B18" s="38">
        <f t="shared" ref="B18:G18" si="1">SUM(B5:B16)</f>
        <v>12791.824000000001</v>
      </c>
      <c r="C18" s="38">
        <f t="shared" si="1"/>
        <v>17782.46</v>
      </c>
      <c r="D18" s="38">
        <f t="shared" si="1"/>
        <v>3516.24</v>
      </c>
      <c r="E18" s="38">
        <f t="shared" si="1"/>
        <v>1404.8799999999999</v>
      </c>
      <c r="F18" s="38">
        <f t="shared" si="1"/>
        <v>174.07999999999996</v>
      </c>
      <c r="G18" s="38">
        <f t="shared" si="1"/>
        <v>35669.484000000004</v>
      </c>
    </row>
  </sheetData>
  <mergeCells count="2">
    <mergeCell ref="A1:G1"/>
    <mergeCell ref="A2:G2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7"/>
  <sheetViews>
    <sheetView workbookViewId="0">
      <selection sqref="A1:H1"/>
    </sheetView>
  </sheetViews>
  <sheetFormatPr defaultRowHeight="13.5"/>
  <cols>
    <col min="1" max="1" width="49.9375" customWidth="1"/>
    <col min="2" max="2" width="10.875" customWidth="1"/>
    <col min="3" max="3" width="34.0625" customWidth="1"/>
    <col min="4" max="4" width="23.9375" customWidth="1"/>
    <col min="5" max="5" width="7" customWidth="1"/>
    <col min="6" max="6" width="34.0625" customWidth="1"/>
    <col min="7" max="7" width="30" customWidth="1"/>
    <col min="8" max="8" width="22.0625" customWidth="1"/>
  </cols>
  <sheetData>
    <row r="1" spans="1:8" ht="15" customHeight="1">
      <c r="A1" s="201" t="s">
        <v>161</v>
      </c>
      <c r="B1" s="201"/>
      <c r="C1" s="201"/>
      <c r="D1" s="201"/>
      <c r="E1" s="201"/>
      <c r="F1" s="201"/>
      <c r="G1" s="201"/>
      <c r="H1" s="201"/>
    </row>
    <row r="3" spans="1:8" ht="13.9">
      <c r="A3" s="33" t="s">
        <v>162</v>
      </c>
      <c r="B3" s="33" t="s">
        <v>163</v>
      </c>
      <c r="C3" s="33" t="s">
        <v>164</v>
      </c>
      <c r="D3" s="33" t="s">
        <v>165</v>
      </c>
      <c r="E3" s="33" t="s">
        <v>67</v>
      </c>
      <c r="F3" s="33" t="s">
        <v>166</v>
      </c>
      <c r="G3" s="33" t="s">
        <v>167</v>
      </c>
      <c r="H3" s="33" t="s">
        <v>168</v>
      </c>
    </row>
    <row r="4" spans="1:8">
      <c r="A4" s="15">
        <v>45931.743807870371</v>
      </c>
      <c r="B4" s="22">
        <v>206212</v>
      </c>
      <c r="C4" s="2" t="s">
        <v>169</v>
      </c>
      <c r="D4" s="2" t="s">
        <v>72</v>
      </c>
      <c r="E4" s="16">
        <v>70</v>
      </c>
      <c r="F4" s="2" t="s">
        <v>170</v>
      </c>
      <c r="G4" s="2"/>
      <c r="H4" s="2" t="s">
        <v>171</v>
      </c>
    </row>
    <row r="5" spans="1:8">
      <c r="A5" s="15">
        <v>45931.743807870371</v>
      </c>
      <c r="B5" s="22">
        <v>206212</v>
      </c>
      <c r="C5" s="2" t="s">
        <v>172</v>
      </c>
      <c r="D5" s="2" t="s">
        <v>72</v>
      </c>
      <c r="E5" s="16">
        <v>38</v>
      </c>
      <c r="F5" s="2" t="s">
        <v>170</v>
      </c>
      <c r="G5" s="2"/>
      <c r="H5" s="2" t="s">
        <v>171</v>
      </c>
    </row>
    <row r="6" spans="1:8">
      <c r="A6" s="15">
        <v>45931.743807870371</v>
      </c>
      <c r="B6" s="22">
        <v>206212</v>
      </c>
      <c r="C6" s="2" t="s">
        <v>173</v>
      </c>
      <c r="D6" s="2" t="s">
        <v>72</v>
      </c>
      <c r="E6" s="16">
        <v>45</v>
      </c>
      <c r="F6" s="2" t="s">
        <v>170</v>
      </c>
      <c r="G6" s="2"/>
      <c r="H6" s="2" t="s">
        <v>171</v>
      </c>
    </row>
    <row r="7" spans="1:8">
      <c r="A7" s="15">
        <v>45931.743807870371</v>
      </c>
      <c r="B7" s="22">
        <v>206212</v>
      </c>
      <c r="C7" s="2" t="s">
        <v>174</v>
      </c>
      <c r="D7" s="2" t="s">
        <v>72</v>
      </c>
      <c r="E7" s="16">
        <v>40</v>
      </c>
      <c r="F7" s="2" t="s">
        <v>170</v>
      </c>
      <c r="G7" s="2"/>
      <c r="H7" s="2" t="s">
        <v>171</v>
      </c>
    </row>
    <row r="8" spans="1:8">
      <c r="A8" s="15">
        <v>45931.743807870371</v>
      </c>
      <c r="B8" s="22">
        <v>206212</v>
      </c>
      <c r="C8" s="2" t="s">
        <v>175</v>
      </c>
      <c r="D8" s="2" t="s">
        <v>72</v>
      </c>
      <c r="E8" s="16">
        <v>110</v>
      </c>
      <c r="F8" s="2" t="s">
        <v>170</v>
      </c>
      <c r="G8" s="2"/>
      <c r="H8" s="2" t="s">
        <v>171</v>
      </c>
    </row>
    <row r="9" spans="1:8">
      <c r="A9" s="15">
        <v>45931.743807870371</v>
      </c>
      <c r="B9" s="22">
        <v>206212</v>
      </c>
      <c r="C9" s="2" t="s">
        <v>176</v>
      </c>
      <c r="D9" s="2" t="s">
        <v>72</v>
      </c>
      <c r="E9" s="16">
        <v>200</v>
      </c>
      <c r="F9" s="2" t="s">
        <v>170</v>
      </c>
      <c r="G9" s="2"/>
      <c r="H9" s="2" t="s">
        <v>171</v>
      </c>
    </row>
    <row r="10" spans="1:8">
      <c r="A10" s="15">
        <v>45943.484027777777</v>
      </c>
      <c r="B10" s="22">
        <v>207152</v>
      </c>
      <c r="C10" s="2" t="s">
        <v>177</v>
      </c>
      <c r="D10" s="2" t="s">
        <v>72</v>
      </c>
      <c r="E10" s="16">
        <v>100</v>
      </c>
      <c r="F10" s="2" t="s">
        <v>178</v>
      </c>
      <c r="G10" s="2"/>
      <c r="H10" s="2" t="s">
        <v>179</v>
      </c>
    </row>
    <row r="11" spans="1:8">
      <c r="A11" s="15">
        <v>45960.105185185188</v>
      </c>
      <c r="B11" s="22">
        <v>208315</v>
      </c>
      <c r="C11" s="2" t="s">
        <v>180</v>
      </c>
      <c r="D11" s="2" t="s">
        <v>77</v>
      </c>
      <c r="E11" s="16">
        <v>190</v>
      </c>
      <c r="F11" s="2" t="s">
        <v>181</v>
      </c>
      <c r="G11" s="2"/>
      <c r="H11" s="2" t="s">
        <v>182</v>
      </c>
    </row>
    <row r="12" spans="1:8">
      <c r="A12" s="15">
        <v>45960.105185185188</v>
      </c>
      <c r="B12" s="22">
        <v>208315</v>
      </c>
      <c r="C12" s="2" t="s">
        <v>183</v>
      </c>
      <c r="D12" s="2" t="s">
        <v>77</v>
      </c>
      <c r="E12" s="16">
        <v>390</v>
      </c>
      <c r="F12" s="2" t="s">
        <v>181</v>
      </c>
      <c r="G12" s="2"/>
      <c r="H12" s="2" t="s">
        <v>182</v>
      </c>
    </row>
    <row r="13" spans="1:8">
      <c r="A13" s="15">
        <v>45960.105185185188</v>
      </c>
      <c r="B13" s="22">
        <v>208315</v>
      </c>
      <c r="C13" s="2" t="s">
        <v>184</v>
      </c>
      <c r="D13" s="2" t="s">
        <v>77</v>
      </c>
      <c r="E13" s="16">
        <v>230</v>
      </c>
      <c r="F13" s="2" t="s">
        <v>181</v>
      </c>
      <c r="G13" s="2"/>
      <c r="H13" s="2" t="s">
        <v>182</v>
      </c>
    </row>
    <row r="14" spans="1:8">
      <c r="A14" s="15">
        <v>45960.105185185188</v>
      </c>
      <c r="B14" s="22">
        <v>208315</v>
      </c>
      <c r="C14" s="2" t="s">
        <v>185</v>
      </c>
      <c r="D14" s="2" t="s">
        <v>77</v>
      </c>
      <c r="E14" s="16">
        <v>830</v>
      </c>
      <c r="F14" s="2" t="s">
        <v>181</v>
      </c>
      <c r="G14" s="2"/>
      <c r="H14" s="2" t="s">
        <v>182</v>
      </c>
    </row>
    <row r="15" spans="1:8">
      <c r="A15" s="15">
        <v>45960.105185185188</v>
      </c>
      <c r="B15" s="22">
        <v>208315</v>
      </c>
      <c r="C15" s="2" t="s">
        <v>186</v>
      </c>
      <c r="D15" s="2" t="s">
        <v>77</v>
      </c>
      <c r="E15" s="16">
        <v>250</v>
      </c>
      <c r="F15" s="2" t="s">
        <v>181</v>
      </c>
      <c r="G15" s="2"/>
      <c r="H15" s="2" t="s">
        <v>182</v>
      </c>
    </row>
    <row r="16" spans="1:8">
      <c r="A16" s="15">
        <v>45960.105185185188</v>
      </c>
      <c r="B16" s="22">
        <v>208315</v>
      </c>
      <c r="C16" s="2" t="s">
        <v>175</v>
      </c>
      <c r="D16" s="2" t="s">
        <v>77</v>
      </c>
      <c r="E16" s="16">
        <v>1200</v>
      </c>
      <c r="F16" s="2" t="s">
        <v>181</v>
      </c>
      <c r="G16" s="2"/>
      <c r="H16" s="2" t="s">
        <v>182</v>
      </c>
    </row>
    <row r="17" spans="1:8">
      <c r="A17" s="15">
        <v>46084.107349537036</v>
      </c>
      <c r="B17" s="22">
        <v>215846</v>
      </c>
      <c r="C17" s="2" t="s">
        <v>187</v>
      </c>
      <c r="D17" s="2" t="s">
        <v>77</v>
      </c>
      <c r="E17" s="16">
        <v>1056</v>
      </c>
      <c r="F17" s="2" t="s">
        <v>188</v>
      </c>
      <c r="G17" s="2"/>
      <c r="H17" s="2" t="s">
        <v>189</v>
      </c>
    </row>
    <row r="18" spans="1:8">
      <c r="A18" s="15">
        <v>46084.107349537036</v>
      </c>
      <c r="B18" s="22">
        <v>215846</v>
      </c>
      <c r="C18" s="2" t="s">
        <v>190</v>
      </c>
      <c r="D18" s="2" t="s">
        <v>77</v>
      </c>
      <c r="E18" s="16">
        <v>470</v>
      </c>
      <c r="F18" s="2" t="s">
        <v>188</v>
      </c>
      <c r="G18" s="2"/>
      <c r="H18" s="2" t="s">
        <v>189</v>
      </c>
    </row>
    <row r="19" spans="1:8">
      <c r="A19" s="15">
        <v>46084.107349537036</v>
      </c>
      <c r="B19" s="22">
        <v>215846</v>
      </c>
      <c r="C19" s="2" t="s">
        <v>191</v>
      </c>
      <c r="D19" s="2" t="s">
        <v>77</v>
      </c>
      <c r="E19" s="16">
        <v>640</v>
      </c>
      <c r="F19" s="2" t="s">
        <v>188</v>
      </c>
      <c r="G19" s="2"/>
      <c r="H19" s="2" t="s">
        <v>189</v>
      </c>
    </row>
    <row r="20" spans="1:8">
      <c r="A20" s="15">
        <v>46084.107349537036</v>
      </c>
      <c r="B20" s="22">
        <v>215846</v>
      </c>
      <c r="C20" s="2" t="s">
        <v>192</v>
      </c>
      <c r="D20" s="2" t="s">
        <v>77</v>
      </c>
      <c r="E20" s="16">
        <v>230</v>
      </c>
      <c r="F20" s="2" t="s">
        <v>188</v>
      </c>
      <c r="G20" s="2"/>
      <c r="H20" s="2" t="s">
        <v>189</v>
      </c>
    </row>
    <row r="21" spans="1:8">
      <c r="A21" s="15">
        <v>46084.107349537036</v>
      </c>
      <c r="B21" s="22">
        <v>215846</v>
      </c>
      <c r="C21" s="2" t="s">
        <v>193</v>
      </c>
      <c r="D21" s="2" t="s">
        <v>77</v>
      </c>
      <c r="E21" s="16">
        <v>96</v>
      </c>
      <c r="F21" s="2" t="s">
        <v>188</v>
      </c>
      <c r="G21" s="2"/>
      <c r="H21" s="2" t="s">
        <v>189</v>
      </c>
    </row>
    <row r="22" spans="1:8">
      <c r="A22" s="15">
        <v>46084.107349537036</v>
      </c>
      <c r="B22" s="22">
        <v>215846</v>
      </c>
      <c r="C22" s="2" t="s">
        <v>169</v>
      </c>
      <c r="D22" s="2" t="s">
        <v>77</v>
      </c>
      <c r="E22" s="16">
        <v>68</v>
      </c>
      <c r="F22" s="2" t="s">
        <v>188</v>
      </c>
      <c r="G22" s="2"/>
      <c r="H22" s="2" t="s">
        <v>189</v>
      </c>
    </row>
    <row r="23" spans="1:8">
      <c r="A23" s="15">
        <v>46084.107349537036</v>
      </c>
      <c r="B23" s="22">
        <v>215846</v>
      </c>
      <c r="C23" s="2" t="s">
        <v>172</v>
      </c>
      <c r="D23" s="2" t="s">
        <v>77</v>
      </c>
      <c r="E23" s="16">
        <v>45</v>
      </c>
      <c r="F23" s="2" t="s">
        <v>188</v>
      </c>
      <c r="G23" s="2"/>
      <c r="H23" s="2" t="s">
        <v>189</v>
      </c>
    </row>
    <row r="24" spans="1:8">
      <c r="A24" s="15">
        <v>46084.107349537036</v>
      </c>
      <c r="B24" s="22">
        <v>215846</v>
      </c>
      <c r="C24" s="2" t="s">
        <v>173</v>
      </c>
      <c r="D24" s="2" t="s">
        <v>77</v>
      </c>
      <c r="E24" s="16">
        <v>65</v>
      </c>
      <c r="F24" s="2" t="s">
        <v>188</v>
      </c>
      <c r="G24" s="2"/>
      <c r="H24" s="2" t="s">
        <v>189</v>
      </c>
    </row>
    <row r="25" spans="1:8">
      <c r="A25" s="15">
        <v>46084.107349537036</v>
      </c>
      <c r="B25" s="22">
        <v>215846</v>
      </c>
      <c r="C25" s="2" t="s">
        <v>194</v>
      </c>
      <c r="D25" s="2" t="s">
        <v>77</v>
      </c>
      <c r="E25" s="16">
        <v>165</v>
      </c>
      <c r="F25" s="2" t="s">
        <v>188</v>
      </c>
      <c r="G25" s="2"/>
      <c r="H25" s="2" t="s">
        <v>189</v>
      </c>
    </row>
    <row r="26" spans="1:8">
      <c r="A26" s="15">
        <v>46084.107349537036</v>
      </c>
      <c r="B26" s="22">
        <v>215846</v>
      </c>
      <c r="C26" s="2" t="s">
        <v>185</v>
      </c>
      <c r="D26" s="2" t="s">
        <v>77</v>
      </c>
      <c r="E26" s="16">
        <v>760</v>
      </c>
      <c r="F26" s="2" t="s">
        <v>188</v>
      </c>
      <c r="G26" s="2"/>
      <c r="H26" s="2" t="s">
        <v>189</v>
      </c>
    </row>
    <row r="27" spans="1:8">
      <c r="A27" s="15">
        <v>46084.107349537036</v>
      </c>
      <c r="B27" s="22">
        <v>215846</v>
      </c>
      <c r="C27" s="2" t="s">
        <v>195</v>
      </c>
      <c r="D27" s="2" t="s">
        <v>77</v>
      </c>
      <c r="E27" s="16">
        <v>118</v>
      </c>
      <c r="F27" s="2" t="s">
        <v>188</v>
      </c>
      <c r="G27" s="2"/>
      <c r="H27" s="2" t="s">
        <v>189</v>
      </c>
    </row>
    <row r="28" spans="1:8">
      <c r="A28" s="15">
        <v>46084.107349537036</v>
      </c>
      <c r="B28" s="22">
        <v>215846</v>
      </c>
      <c r="C28" s="2" t="s">
        <v>196</v>
      </c>
      <c r="D28" s="2" t="s">
        <v>77</v>
      </c>
      <c r="E28" s="16">
        <v>35</v>
      </c>
      <c r="F28" s="2" t="s">
        <v>188</v>
      </c>
      <c r="G28" s="2"/>
      <c r="H28" s="2" t="s">
        <v>189</v>
      </c>
    </row>
    <row r="29" spans="1:8">
      <c r="A29" s="15">
        <v>46084.107349537036</v>
      </c>
      <c r="B29" s="22">
        <v>215846</v>
      </c>
      <c r="C29" s="2" t="s">
        <v>175</v>
      </c>
      <c r="D29" s="2" t="s">
        <v>77</v>
      </c>
      <c r="E29" s="16">
        <v>1200</v>
      </c>
      <c r="F29" s="2" t="s">
        <v>188</v>
      </c>
      <c r="G29" s="2"/>
      <c r="H29" s="2" t="s">
        <v>189</v>
      </c>
    </row>
    <row r="30" spans="1:8">
      <c r="A30" s="15">
        <v>46084.107349537036</v>
      </c>
      <c r="B30" s="22">
        <v>215846</v>
      </c>
      <c r="C30" s="2" t="s">
        <v>175</v>
      </c>
      <c r="D30" s="2" t="s">
        <v>77</v>
      </c>
      <c r="E30" s="16">
        <v>600</v>
      </c>
      <c r="F30" s="2" t="s">
        <v>188</v>
      </c>
      <c r="G30" s="2"/>
      <c r="H30" s="2" t="s">
        <v>189</v>
      </c>
    </row>
    <row r="31" spans="1:8">
      <c r="A31" s="15">
        <v>46084.107349537036</v>
      </c>
      <c r="B31" s="22">
        <v>215846</v>
      </c>
      <c r="C31" s="2" t="s">
        <v>197</v>
      </c>
      <c r="D31" s="2" t="s">
        <v>77</v>
      </c>
      <c r="E31" s="16">
        <v>250</v>
      </c>
      <c r="F31" s="2" t="s">
        <v>188</v>
      </c>
      <c r="G31" s="2"/>
      <c r="H31" s="2" t="s">
        <v>189</v>
      </c>
    </row>
    <row r="32" spans="1:8">
      <c r="A32" s="15">
        <v>46084.107349537036</v>
      </c>
      <c r="B32" s="22">
        <v>215846</v>
      </c>
      <c r="C32" s="2" t="s">
        <v>198</v>
      </c>
      <c r="D32" s="2" t="s">
        <v>77</v>
      </c>
      <c r="E32" s="16">
        <v>890</v>
      </c>
      <c r="F32" s="2" t="s">
        <v>188</v>
      </c>
      <c r="G32" s="2"/>
      <c r="H32" s="2" t="s">
        <v>189</v>
      </c>
    </row>
    <row r="33" spans="1:8">
      <c r="A33" s="15">
        <v>46084.107349537036</v>
      </c>
      <c r="B33" s="22">
        <v>215846</v>
      </c>
      <c r="C33" s="2" t="s">
        <v>199</v>
      </c>
      <c r="D33" s="2" t="s">
        <v>77</v>
      </c>
      <c r="E33" s="16">
        <v>32</v>
      </c>
      <c r="F33" s="2" t="s">
        <v>188</v>
      </c>
      <c r="G33" s="2"/>
      <c r="H33" s="2" t="s">
        <v>189</v>
      </c>
    </row>
    <row r="34" spans="1:8">
      <c r="A34" s="15">
        <v>46084.107349537036</v>
      </c>
      <c r="B34" s="22">
        <v>215846</v>
      </c>
      <c r="C34" s="2" t="s">
        <v>200</v>
      </c>
      <c r="D34" s="2" t="s">
        <v>77</v>
      </c>
      <c r="E34" s="16">
        <v>260</v>
      </c>
      <c r="F34" s="2" t="s">
        <v>188</v>
      </c>
      <c r="G34" s="2"/>
      <c r="H34" s="2" t="s">
        <v>189</v>
      </c>
    </row>
    <row r="35" spans="1:8">
      <c r="A35" s="15">
        <v>46154.115694444445</v>
      </c>
      <c r="B35" s="22">
        <v>219458</v>
      </c>
      <c r="C35" s="2" t="s">
        <v>201</v>
      </c>
      <c r="D35" s="2" t="s">
        <v>77</v>
      </c>
      <c r="E35" s="16">
        <v>300</v>
      </c>
      <c r="F35" s="2" t="s">
        <v>188</v>
      </c>
      <c r="G35" s="2"/>
      <c r="H35" s="2" t="s">
        <v>202</v>
      </c>
    </row>
    <row r="36" spans="1:8" ht="27">
      <c r="A36" s="15">
        <v>46176.71912037037</v>
      </c>
      <c r="B36" s="22">
        <v>220582</v>
      </c>
      <c r="C36" s="2" t="s">
        <v>203</v>
      </c>
      <c r="D36" s="2" t="s">
        <v>72</v>
      </c>
      <c r="E36" s="16">
        <v>250</v>
      </c>
      <c r="F36" s="2" t="s">
        <v>170</v>
      </c>
      <c r="G36" s="2"/>
      <c r="H36" s="2" t="s">
        <v>204</v>
      </c>
    </row>
    <row r="37" spans="1:8">
      <c r="A37" s="15">
        <v>46176.71912037037</v>
      </c>
      <c r="B37" s="22">
        <v>220582</v>
      </c>
      <c r="C37" s="2" t="s">
        <v>174</v>
      </c>
      <c r="D37" s="2" t="s">
        <v>72</v>
      </c>
      <c r="E37" s="16">
        <v>20</v>
      </c>
      <c r="F37" s="2" t="s">
        <v>170</v>
      </c>
      <c r="G37" s="2"/>
      <c r="H37" s="2" t="s">
        <v>204</v>
      </c>
    </row>
    <row r="38" spans="1:8">
      <c r="A38" s="15">
        <v>46176.71912037037</v>
      </c>
      <c r="B38" s="22">
        <v>220582</v>
      </c>
      <c r="C38" s="2" t="s">
        <v>196</v>
      </c>
      <c r="D38" s="2" t="s">
        <v>72</v>
      </c>
      <c r="E38" s="16">
        <v>125</v>
      </c>
      <c r="F38" s="2" t="s">
        <v>170</v>
      </c>
      <c r="G38" s="2"/>
      <c r="H38" s="2" t="s">
        <v>204</v>
      </c>
    </row>
    <row r="39" spans="1:8">
      <c r="A39" s="15">
        <v>46176.71912037037</v>
      </c>
      <c r="B39" s="22">
        <v>220582</v>
      </c>
      <c r="C39" s="2" t="s">
        <v>175</v>
      </c>
      <c r="D39" s="2" t="s">
        <v>72</v>
      </c>
      <c r="E39" s="16">
        <v>140</v>
      </c>
      <c r="F39" s="2" t="s">
        <v>170</v>
      </c>
      <c r="G39" s="2"/>
      <c r="H39" s="2" t="s">
        <v>204</v>
      </c>
    </row>
    <row r="40" spans="1:8">
      <c r="A40" s="15">
        <v>46176.71912037037</v>
      </c>
      <c r="B40" s="22">
        <v>220582</v>
      </c>
      <c r="C40" s="2" t="s">
        <v>205</v>
      </c>
      <c r="D40" s="2" t="s">
        <v>72</v>
      </c>
      <c r="E40" s="16">
        <v>286.60000000000002</v>
      </c>
      <c r="F40" s="2" t="s">
        <v>170</v>
      </c>
      <c r="G40" s="2"/>
      <c r="H40" s="2" t="s">
        <v>204</v>
      </c>
    </row>
    <row r="41" spans="1:8">
      <c r="A41" s="15">
        <v>46176.71912037037</v>
      </c>
      <c r="B41" s="22">
        <v>220582</v>
      </c>
      <c r="C41" s="2" t="s">
        <v>206</v>
      </c>
      <c r="D41" s="2" t="s">
        <v>72</v>
      </c>
      <c r="E41" s="16">
        <v>150</v>
      </c>
      <c r="F41" s="2" t="s">
        <v>170</v>
      </c>
      <c r="G41" s="2"/>
      <c r="H41" s="2" t="s">
        <v>204</v>
      </c>
    </row>
    <row r="42" spans="1:8">
      <c r="A42" s="15">
        <v>46176.71912037037</v>
      </c>
      <c r="B42" s="22">
        <v>220582</v>
      </c>
      <c r="C42" s="2" t="s">
        <v>207</v>
      </c>
      <c r="D42" s="2" t="s">
        <v>72</v>
      </c>
      <c r="E42" s="16">
        <v>240</v>
      </c>
      <c r="F42" s="2" t="s">
        <v>170</v>
      </c>
      <c r="G42" s="2"/>
      <c r="H42" s="2" t="s">
        <v>204</v>
      </c>
    </row>
    <row r="43" spans="1:8">
      <c r="A43" s="15">
        <v>46176.71912037037</v>
      </c>
      <c r="B43" s="22">
        <v>220582</v>
      </c>
      <c r="C43" s="2" t="s">
        <v>176</v>
      </c>
      <c r="D43" s="2" t="s">
        <v>72</v>
      </c>
      <c r="E43" s="16">
        <v>70</v>
      </c>
      <c r="F43" s="2" t="s">
        <v>170</v>
      </c>
      <c r="G43" s="2"/>
      <c r="H43" s="2" t="s">
        <v>204</v>
      </c>
    </row>
    <row r="44" spans="1:8">
      <c r="A44" s="15">
        <v>46176.71912037037</v>
      </c>
      <c r="B44" s="22">
        <v>220582</v>
      </c>
      <c r="C44" s="2" t="s">
        <v>208</v>
      </c>
      <c r="D44" s="2" t="s">
        <v>72</v>
      </c>
      <c r="E44" s="16">
        <v>160</v>
      </c>
      <c r="F44" s="2" t="s">
        <v>170</v>
      </c>
      <c r="G44" s="2"/>
      <c r="H44" s="2" t="s">
        <v>204</v>
      </c>
    </row>
    <row r="45" spans="1:8">
      <c r="A45" s="15">
        <v>46176.71912037037</v>
      </c>
      <c r="B45" s="22">
        <v>220582</v>
      </c>
      <c r="C45" s="2" t="s">
        <v>200</v>
      </c>
      <c r="D45" s="2" t="s">
        <v>72</v>
      </c>
      <c r="E45" s="16">
        <v>295</v>
      </c>
      <c r="F45" s="2" t="s">
        <v>170</v>
      </c>
      <c r="G45" s="2"/>
      <c r="H45" s="2" t="s">
        <v>204</v>
      </c>
    </row>
    <row r="46" spans="1:8">
      <c r="A46" s="15">
        <v>46189.523923611108</v>
      </c>
      <c r="B46" s="22">
        <v>221241</v>
      </c>
      <c r="C46" s="2" t="s">
        <v>209</v>
      </c>
      <c r="D46" s="2" t="s">
        <v>77</v>
      </c>
      <c r="E46" s="16">
        <v>12</v>
      </c>
      <c r="F46" s="2" t="s">
        <v>181</v>
      </c>
      <c r="G46" s="2"/>
      <c r="H46" s="2" t="s">
        <v>210</v>
      </c>
    </row>
    <row r="47" spans="1:8">
      <c r="A47" s="15">
        <v>46189.523923611108</v>
      </c>
      <c r="B47" s="22">
        <v>221241</v>
      </c>
      <c r="C47" s="2" t="s">
        <v>211</v>
      </c>
      <c r="D47" s="2" t="s">
        <v>77</v>
      </c>
      <c r="E47" s="16">
        <v>390</v>
      </c>
      <c r="F47" s="2" t="s">
        <v>181</v>
      </c>
      <c r="G47" s="2"/>
      <c r="H47" s="2" t="s">
        <v>210</v>
      </c>
    </row>
    <row r="48" spans="1:8">
      <c r="A48" s="15">
        <v>46189.523923611108</v>
      </c>
      <c r="B48" s="22">
        <v>221241</v>
      </c>
      <c r="C48" s="2" t="s">
        <v>211</v>
      </c>
      <c r="D48" s="2" t="s">
        <v>77</v>
      </c>
      <c r="E48" s="16">
        <v>390</v>
      </c>
      <c r="F48" s="2" t="s">
        <v>181</v>
      </c>
      <c r="G48" s="2"/>
      <c r="H48" s="2" t="s">
        <v>210</v>
      </c>
    </row>
    <row r="49" spans="1:8">
      <c r="A49" s="15">
        <v>46189.523923611108</v>
      </c>
      <c r="B49" s="22">
        <v>221241</v>
      </c>
      <c r="C49" s="2" t="s">
        <v>212</v>
      </c>
      <c r="D49" s="2" t="s">
        <v>77</v>
      </c>
      <c r="E49" s="16">
        <v>130</v>
      </c>
      <c r="F49" s="2" t="s">
        <v>181</v>
      </c>
      <c r="G49" s="2"/>
      <c r="H49" s="2" t="s">
        <v>210</v>
      </c>
    </row>
    <row r="50" spans="1:8">
      <c r="A50" s="15">
        <v>46189.523923611108</v>
      </c>
      <c r="B50" s="22">
        <v>221241</v>
      </c>
      <c r="C50" s="2" t="s">
        <v>213</v>
      </c>
      <c r="D50" s="2" t="s">
        <v>77</v>
      </c>
      <c r="E50" s="16">
        <v>85</v>
      </c>
      <c r="F50" s="2" t="s">
        <v>181</v>
      </c>
      <c r="G50" s="2"/>
      <c r="H50" s="2" t="s">
        <v>210</v>
      </c>
    </row>
    <row r="51" spans="1:8">
      <c r="A51" s="15">
        <v>46189.523923611108</v>
      </c>
      <c r="B51" s="22">
        <v>221241</v>
      </c>
      <c r="C51" s="2" t="s">
        <v>214</v>
      </c>
      <c r="D51" s="2" t="s">
        <v>77</v>
      </c>
      <c r="E51" s="16">
        <v>136</v>
      </c>
      <c r="F51" s="2" t="s">
        <v>181</v>
      </c>
      <c r="G51" s="2"/>
      <c r="H51" s="2" t="s">
        <v>210</v>
      </c>
    </row>
    <row r="52" spans="1:8">
      <c r="A52" s="15">
        <v>46189.523923611108</v>
      </c>
      <c r="B52" s="22">
        <v>221241</v>
      </c>
      <c r="C52" s="2" t="s">
        <v>175</v>
      </c>
      <c r="D52" s="2" t="s">
        <v>77</v>
      </c>
      <c r="E52" s="16">
        <v>1060</v>
      </c>
      <c r="F52" s="2" t="s">
        <v>181</v>
      </c>
      <c r="G52" s="2"/>
      <c r="H52" s="2" t="s">
        <v>210</v>
      </c>
    </row>
    <row r="53" spans="1:8">
      <c r="A53" s="15">
        <v>46189.523923611108</v>
      </c>
      <c r="B53" s="22">
        <v>221241</v>
      </c>
      <c r="C53" s="2" t="s">
        <v>215</v>
      </c>
      <c r="D53" s="2" t="s">
        <v>77</v>
      </c>
      <c r="E53" s="16">
        <v>150</v>
      </c>
      <c r="F53" s="2" t="s">
        <v>181</v>
      </c>
      <c r="G53" s="2"/>
      <c r="H53" s="2" t="s">
        <v>210</v>
      </c>
    </row>
    <row r="54" spans="1:8">
      <c r="A54" s="15">
        <v>46204.647199074076</v>
      </c>
      <c r="B54" s="22">
        <v>221817</v>
      </c>
      <c r="C54" s="2" t="s">
        <v>216</v>
      </c>
      <c r="D54" s="2" t="s">
        <v>72</v>
      </c>
      <c r="E54" s="16">
        <v>40</v>
      </c>
      <c r="F54" s="2" t="s">
        <v>170</v>
      </c>
      <c r="G54" s="2"/>
      <c r="H54" s="2" t="s">
        <v>217</v>
      </c>
    </row>
    <row r="55" spans="1:8">
      <c r="A55" s="15">
        <v>46204.647199074076</v>
      </c>
      <c r="B55" s="22">
        <v>221817</v>
      </c>
      <c r="C55" s="2" t="s">
        <v>218</v>
      </c>
      <c r="D55" s="2" t="s">
        <v>72</v>
      </c>
      <c r="E55" s="16">
        <v>30</v>
      </c>
      <c r="F55" s="2" t="s">
        <v>170</v>
      </c>
      <c r="G55" s="2"/>
      <c r="H55" s="2" t="s">
        <v>217</v>
      </c>
    </row>
    <row r="56" spans="1:8">
      <c r="A56" s="15">
        <v>46204.647199074076</v>
      </c>
      <c r="B56" s="22">
        <v>221817</v>
      </c>
      <c r="C56" s="2" t="s">
        <v>219</v>
      </c>
      <c r="D56" s="2" t="s">
        <v>72</v>
      </c>
      <c r="E56" s="16">
        <v>170</v>
      </c>
      <c r="F56" s="2" t="s">
        <v>170</v>
      </c>
      <c r="G56" s="2"/>
      <c r="H56" s="2" t="s">
        <v>217</v>
      </c>
    </row>
    <row r="57" spans="1:8">
      <c r="A57" s="15">
        <v>46204.647199074076</v>
      </c>
      <c r="B57" s="22">
        <v>221817</v>
      </c>
      <c r="C57" s="2" t="s">
        <v>220</v>
      </c>
      <c r="D57" s="2" t="s">
        <v>72</v>
      </c>
      <c r="E57" s="16">
        <v>140</v>
      </c>
      <c r="F57" s="2" t="s">
        <v>170</v>
      </c>
      <c r="G57" s="2"/>
      <c r="H57" s="2" t="s">
        <v>217</v>
      </c>
    </row>
    <row r="58" spans="1:8" ht="27">
      <c r="A58" s="15">
        <v>46206.41642361111</v>
      </c>
      <c r="B58" s="22">
        <v>221917</v>
      </c>
      <c r="C58" s="2" t="s">
        <v>221</v>
      </c>
      <c r="D58" s="2" t="s">
        <v>80</v>
      </c>
      <c r="E58" s="16">
        <v>561</v>
      </c>
      <c r="F58" s="2" t="s">
        <v>222</v>
      </c>
      <c r="G58" s="2"/>
      <c r="H58" s="2" t="s">
        <v>223</v>
      </c>
    </row>
    <row r="59" spans="1:8">
      <c r="A59" s="15">
        <v>46222.957291666666</v>
      </c>
      <c r="B59" s="22">
        <v>222470</v>
      </c>
      <c r="C59" s="2" t="s">
        <v>224</v>
      </c>
      <c r="D59" s="2" t="s">
        <v>72</v>
      </c>
      <c r="E59" s="16">
        <v>490</v>
      </c>
      <c r="F59" s="2" t="s">
        <v>225</v>
      </c>
      <c r="G59" s="2"/>
      <c r="H59" s="2" t="s">
        <v>226</v>
      </c>
    </row>
    <row r="60" spans="1:8">
      <c r="A60" s="15">
        <v>46278.697696759256</v>
      </c>
      <c r="B60" s="22">
        <v>226295</v>
      </c>
      <c r="C60" s="2" t="s">
        <v>227</v>
      </c>
      <c r="D60" s="2" t="s">
        <v>72</v>
      </c>
      <c r="E60" s="16">
        <v>100</v>
      </c>
      <c r="F60" s="2" t="s">
        <v>228</v>
      </c>
      <c r="G60" s="2" t="s">
        <v>229</v>
      </c>
      <c r="H60" s="2" t="s">
        <v>230</v>
      </c>
    </row>
    <row r="61" spans="1:8">
      <c r="A61" s="15">
        <v>46278.697696759256</v>
      </c>
      <c r="B61" s="22">
        <v>226295</v>
      </c>
      <c r="C61" s="2" t="s">
        <v>231</v>
      </c>
      <c r="D61" s="2" t="s">
        <v>72</v>
      </c>
      <c r="E61" s="16">
        <v>140</v>
      </c>
      <c r="F61" s="2" t="s">
        <v>228</v>
      </c>
      <c r="G61" s="2" t="s">
        <v>229</v>
      </c>
      <c r="H61" s="2" t="s">
        <v>230</v>
      </c>
    </row>
    <row r="62" spans="1:8">
      <c r="A62" s="15">
        <v>46278.697696759256</v>
      </c>
      <c r="B62" s="22">
        <v>226295</v>
      </c>
      <c r="C62" s="2" t="s">
        <v>232</v>
      </c>
      <c r="D62" s="2" t="s">
        <v>72</v>
      </c>
      <c r="E62" s="16">
        <v>279.35000000000002</v>
      </c>
      <c r="F62" s="2" t="s">
        <v>228</v>
      </c>
      <c r="G62" s="2" t="s">
        <v>229</v>
      </c>
      <c r="H62" s="2" t="s">
        <v>230</v>
      </c>
    </row>
    <row r="63" spans="1:8">
      <c r="A63" s="15">
        <v>46278.697696759256</v>
      </c>
      <c r="B63" s="22">
        <v>226295</v>
      </c>
      <c r="C63" s="2" t="s">
        <v>172</v>
      </c>
      <c r="D63" s="2" t="s">
        <v>72</v>
      </c>
      <c r="E63" s="16">
        <v>24.99</v>
      </c>
      <c r="F63" s="2" t="s">
        <v>228</v>
      </c>
      <c r="G63" s="2" t="s">
        <v>229</v>
      </c>
      <c r="H63" s="2" t="s">
        <v>230</v>
      </c>
    </row>
    <row r="64" spans="1:8">
      <c r="A64" s="15">
        <v>46278.697696759256</v>
      </c>
      <c r="B64" s="22">
        <v>226295</v>
      </c>
      <c r="C64" s="2" t="s">
        <v>173</v>
      </c>
      <c r="D64" s="2" t="s">
        <v>72</v>
      </c>
      <c r="E64" s="16">
        <v>39.68</v>
      </c>
      <c r="F64" s="2" t="s">
        <v>228</v>
      </c>
      <c r="G64" s="2" t="s">
        <v>229</v>
      </c>
      <c r="H64" s="2" t="s">
        <v>230</v>
      </c>
    </row>
    <row r="65" spans="1:8">
      <c r="A65" s="15">
        <v>46278.697696759256</v>
      </c>
      <c r="B65" s="22">
        <v>226295</v>
      </c>
      <c r="C65" s="2" t="s">
        <v>174</v>
      </c>
      <c r="D65" s="2" t="s">
        <v>72</v>
      </c>
      <c r="E65" s="16">
        <v>19.34</v>
      </c>
      <c r="F65" s="2" t="s">
        <v>228</v>
      </c>
      <c r="G65" s="2" t="s">
        <v>229</v>
      </c>
      <c r="H65" s="2" t="s">
        <v>230</v>
      </c>
    </row>
    <row r="66" spans="1:8">
      <c r="A66" s="15">
        <v>46278.697696759256</v>
      </c>
      <c r="B66" s="22">
        <v>226295</v>
      </c>
      <c r="C66" s="2" t="s">
        <v>175</v>
      </c>
      <c r="D66" s="2" t="s">
        <v>72</v>
      </c>
      <c r="E66" s="16">
        <v>460</v>
      </c>
      <c r="F66" s="2" t="s">
        <v>228</v>
      </c>
      <c r="G66" s="2" t="s">
        <v>229</v>
      </c>
      <c r="H66" s="2" t="s">
        <v>230</v>
      </c>
    </row>
    <row r="67" spans="1:8">
      <c r="A67" s="15">
        <v>46278.697696759256</v>
      </c>
      <c r="B67" s="22">
        <v>226295</v>
      </c>
      <c r="C67" s="2" t="s">
        <v>200</v>
      </c>
      <c r="D67" s="2" t="s">
        <v>72</v>
      </c>
      <c r="E67" s="16">
        <v>225.5</v>
      </c>
      <c r="F67" s="2" t="s">
        <v>228</v>
      </c>
      <c r="G67" s="2" t="s">
        <v>229</v>
      </c>
      <c r="H67" s="2" t="s">
        <v>230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6"/>
  <sheetViews>
    <sheetView workbookViewId="0">
      <selection sqref="A1:I1"/>
    </sheetView>
  </sheetViews>
  <sheetFormatPr defaultRowHeight="13.5"/>
  <cols>
    <col min="1" max="1" width="58.5" customWidth="1"/>
    <col min="2" max="2" width="10.875" customWidth="1"/>
    <col min="3" max="3" width="12.5" customWidth="1"/>
    <col min="4" max="4" width="8.875" customWidth="1"/>
    <col min="5" max="5" width="7" customWidth="1"/>
    <col min="6" max="6" width="8.875" customWidth="1"/>
    <col min="7" max="7" width="13.1875" customWidth="1"/>
    <col min="8" max="8" width="16" customWidth="1"/>
    <col min="9" max="9" width="36.0625" customWidth="1"/>
    <col min="11" max="11" width="50.0625" customWidth="1"/>
  </cols>
  <sheetData>
    <row r="1" spans="1:11" ht="15" customHeight="1">
      <c r="A1" s="201" t="s">
        <v>233</v>
      </c>
      <c r="B1" s="201"/>
      <c r="C1" s="201"/>
      <c r="D1" s="201"/>
      <c r="E1" s="201"/>
      <c r="F1" s="201"/>
      <c r="G1" s="201"/>
      <c r="H1" s="201"/>
      <c r="I1" s="201"/>
    </row>
    <row r="3" spans="1:11" ht="13.9">
      <c r="A3" s="33" t="s">
        <v>162</v>
      </c>
      <c r="B3" s="33" t="s">
        <v>163</v>
      </c>
      <c r="C3" s="33" t="s">
        <v>7</v>
      </c>
      <c r="D3" s="33" t="s">
        <v>234</v>
      </c>
      <c r="E3" s="33" t="s">
        <v>67</v>
      </c>
      <c r="F3" s="33" t="s">
        <v>235</v>
      </c>
      <c r="G3" s="33" t="s">
        <v>236</v>
      </c>
      <c r="H3" s="33" t="s">
        <v>237</v>
      </c>
      <c r="I3" s="33" t="s">
        <v>238</v>
      </c>
      <c r="K3" s="40" t="s">
        <v>239</v>
      </c>
    </row>
    <row r="4" spans="1:11" ht="27">
      <c r="A4" s="15">
        <v>45919.875601851854</v>
      </c>
      <c r="B4" s="22">
        <v>205371</v>
      </c>
      <c r="C4" s="2" t="s">
        <v>240</v>
      </c>
      <c r="D4" s="16">
        <v>5.89</v>
      </c>
      <c r="E4" s="16">
        <v>259.74900000000002</v>
      </c>
      <c r="F4" s="39">
        <v>44.1</v>
      </c>
      <c r="G4" s="39" t="s">
        <v>241</v>
      </c>
      <c r="H4" s="39">
        <v>12.073</v>
      </c>
      <c r="I4" s="2" t="s">
        <v>242</v>
      </c>
      <c r="K4" s="2" t="s">
        <v>243</v>
      </c>
    </row>
    <row r="5" spans="1:11">
      <c r="A5" s="15">
        <v>45923.943449074075</v>
      </c>
      <c r="B5" s="22">
        <v>205813</v>
      </c>
      <c r="C5" s="2" t="s">
        <v>240</v>
      </c>
      <c r="D5" s="16">
        <v>5.89</v>
      </c>
      <c r="E5" s="16">
        <v>215.63300000000001</v>
      </c>
      <c r="F5" s="39">
        <v>36.61</v>
      </c>
      <c r="G5" s="39" t="s">
        <v>241</v>
      </c>
      <c r="H5" s="39">
        <v>10.882999999999999</v>
      </c>
      <c r="I5" s="2" t="s">
        <v>242</v>
      </c>
      <c r="K5" s="2" t="s">
        <v>244</v>
      </c>
    </row>
    <row r="6" spans="1:11">
      <c r="A6" s="15">
        <v>45932.477349537039</v>
      </c>
      <c r="B6" s="22">
        <v>206242</v>
      </c>
      <c r="C6" s="2" t="s">
        <v>240</v>
      </c>
      <c r="D6" s="16">
        <v>5.89</v>
      </c>
      <c r="E6" s="16">
        <v>232.19</v>
      </c>
      <c r="F6" s="39">
        <v>39.420999999999999</v>
      </c>
      <c r="G6" s="39" t="s">
        <v>241</v>
      </c>
      <c r="H6" s="39">
        <v>12.138</v>
      </c>
      <c r="I6" s="2" t="s">
        <v>242</v>
      </c>
      <c r="K6" s="2" t="s">
        <v>245</v>
      </c>
    </row>
    <row r="7" spans="1:11">
      <c r="A7" s="15">
        <v>45936.949699074074</v>
      </c>
      <c r="B7" s="22">
        <v>206728</v>
      </c>
      <c r="C7" s="2" t="s">
        <v>240</v>
      </c>
      <c r="D7" s="16">
        <v>5.89</v>
      </c>
      <c r="E7" s="16">
        <v>235.84</v>
      </c>
      <c r="F7" s="39">
        <v>40.040999999999997</v>
      </c>
      <c r="G7" s="39" t="s">
        <v>241</v>
      </c>
      <c r="H7" s="39">
        <v>11.367000000000001</v>
      </c>
      <c r="I7" s="2" t="s">
        <v>242</v>
      </c>
    </row>
    <row r="8" spans="1:11">
      <c r="A8" s="15">
        <v>45941.484988425924</v>
      </c>
      <c r="B8" s="22">
        <v>207042</v>
      </c>
      <c r="C8" s="2" t="s">
        <v>240</v>
      </c>
      <c r="D8" s="16">
        <v>5.89</v>
      </c>
      <c r="E8" s="16">
        <v>96.72</v>
      </c>
      <c r="F8" s="39">
        <v>16.420999999999999</v>
      </c>
      <c r="G8" s="39" t="s">
        <v>246</v>
      </c>
      <c r="H8" s="39">
        <v>11.367000000000001</v>
      </c>
      <c r="I8" s="2" t="s">
        <v>242</v>
      </c>
    </row>
    <row r="9" spans="1:11">
      <c r="A9" s="15">
        <v>45945.803715277776</v>
      </c>
      <c r="B9" s="22">
        <v>207368</v>
      </c>
      <c r="C9" s="2" t="s">
        <v>240</v>
      </c>
      <c r="D9" s="16">
        <v>5.89</v>
      </c>
      <c r="E9" s="16">
        <v>234.9</v>
      </c>
      <c r="F9" s="39">
        <v>39.881</v>
      </c>
      <c r="G9" s="39" t="s">
        <v>241</v>
      </c>
      <c r="H9" s="39">
        <v>10.411</v>
      </c>
      <c r="I9" s="2" t="s">
        <v>242</v>
      </c>
    </row>
    <row r="10" spans="1:11">
      <c r="A10" s="15">
        <v>45950.488379629627</v>
      </c>
      <c r="B10" s="22">
        <v>207773</v>
      </c>
      <c r="C10" s="2" t="s">
        <v>240</v>
      </c>
      <c r="D10" s="16">
        <v>5.89</v>
      </c>
      <c r="E10" s="16">
        <v>100</v>
      </c>
      <c r="F10" s="39">
        <v>16.978000000000002</v>
      </c>
      <c r="G10" s="39" t="s">
        <v>246</v>
      </c>
      <c r="H10" s="39">
        <v>10.411</v>
      </c>
      <c r="I10" s="2" t="s">
        <v>247</v>
      </c>
    </row>
    <row r="11" spans="1:11">
      <c r="A11" s="15">
        <v>45951.25371527778</v>
      </c>
      <c r="B11" s="22">
        <v>207947</v>
      </c>
      <c r="C11" s="2" t="s">
        <v>240</v>
      </c>
      <c r="D11" s="16">
        <v>5.89</v>
      </c>
      <c r="E11" s="16">
        <v>67.710999999999999</v>
      </c>
      <c r="F11" s="39">
        <v>11.496</v>
      </c>
      <c r="G11" s="39" t="s">
        <v>246</v>
      </c>
      <c r="H11" s="39">
        <v>10.411</v>
      </c>
      <c r="I11" s="2" t="s">
        <v>242</v>
      </c>
    </row>
    <row r="12" spans="1:11">
      <c r="A12" s="15">
        <v>45952.47855324074</v>
      </c>
      <c r="B12" s="22">
        <v>208072</v>
      </c>
      <c r="C12" s="2" t="s">
        <v>240</v>
      </c>
      <c r="D12" s="16">
        <v>5.89</v>
      </c>
      <c r="E12" s="16">
        <v>96.72</v>
      </c>
      <c r="F12" s="39">
        <v>16.420999999999999</v>
      </c>
      <c r="G12" s="39" t="s">
        <v>246</v>
      </c>
      <c r="H12" s="39">
        <v>10.411</v>
      </c>
      <c r="I12" s="2" t="s">
        <v>242</v>
      </c>
    </row>
    <row r="13" spans="1:11">
      <c r="A13" s="15">
        <v>45955.47865740741</v>
      </c>
      <c r="B13" s="22">
        <v>208294</v>
      </c>
      <c r="C13" s="2" t="s">
        <v>240</v>
      </c>
      <c r="D13" s="16">
        <v>5.89</v>
      </c>
      <c r="E13" s="16">
        <v>145.08000000000001</v>
      </c>
      <c r="F13" s="39">
        <v>24.632000000000001</v>
      </c>
      <c r="G13" s="39" t="s">
        <v>246</v>
      </c>
      <c r="H13" s="39">
        <v>10.411</v>
      </c>
      <c r="I13" s="2" t="s">
        <v>242</v>
      </c>
    </row>
    <row r="14" spans="1:11">
      <c r="A14" s="15">
        <v>45965.508981481478</v>
      </c>
      <c r="B14" s="22">
        <v>208500</v>
      </c>
      <c r="C14" s="2" t="s">
        <v>74</v>
      </c>
      <c r="D14" s="16">
        <v>4.8899999999999997</v>
      </c>
      <c r="E14" s="16">
        <v>48.9</v>
      </c>
      <c r="F14" s="39">
        <v>10</v>
      </c>
      <c r="G14" s="39" t="s">
        <v>246</v>
      </c>
      <c r="H14" s="39">
        <v>10.411</v>
      </c>
      <c r="I14" s="2" t="s">
        <v>242</v>
      </c>
    </row>
    <row r="15" spans="1:11">
      <c r="A15" s="15">
        <v>45965.777453703704</v>
      </c>
      <c r="B15" s="22">
        <v>208588</v>
      </c>
      <c r="C15" s="2" t="s">
        <v>240</v>
      </c>
      <c r="D15" s="16">
        <v>5.99</v>
      </c>
      <c r="E15" s="16">
        <v>225.583</v>
      </c>
      <c r="F15" s="39">
        <v>37.659999999999997</v>
      </c>
      <c r="G15" s="39" t="s">
        <v>241</v>
      </c>
      <c r="H15" s="39">
        <v>10.164999999999999</v>
      </c>
      <c r="I15" s="2" t="s">
        <v>248</v>
      </c>
    </row>
    <row r="16" spans="1:11">
      <c r="A16" s="15">
        <v>45972.004930555559</v>
      </c>
      <c r="B16" s="22">
        <v>208952</v>
      </c>
      <c r="C16" s="2" t="s">
        <v>240</v>
      </c>
      <c r="D16" s="16">
        <v>5.89</v>
      </c>
      <c r="E16" s="16">
        <v>210.92099999999999</v>
      </c>
      <c r="F16" s="39">
        <v>35.81</v>
      </c>
      <c r="G16" s="39" t="s">
        <v>241</v>
      </c>
      <c r="H16" s="39">
        <v>10.164999999999999</v>
      </c>
      <c r="I16" s="2" t="s">
        <v>242</v>
      </c>
    </row>
    <row r="17" spans="1:9">
      <c r="A17" s="15">
        <v>45978.758055555554</v>
      </c>
      <c r="B17" s="22">
        <v>209394</v>
      </c>
      <c r="C17" s="2" t="s">
        <v>240</v>
      </c>
      <c r="D17" s="16">
        <v>5.99</v>
      </c>
      <c r="E17" s="16">
        <v>260.45999999999998</v>
      </c>
      <c r="F17" s="39">
        <v>43.481999999999999</v>
      </c>
      <c r="G17" s="39" t="s">
        <v>241</v>
      </c>
      <c r="H17" s="39">
        <v>9.7159999999999993</v>
      </c>
      <c r="I17" s="2" t="s">
        <v>249</v>
      </c>
    </row>
    <row r="18" spans="1:9">
      <c r="A18" s="15">
        <v>45986.483888888892</v>
      </c>
      <c r="B18" s="22">
        <v>209777</v>
      </c>
      <c r="C18" s="2" t="s">
        <v>240</v>
      </c>
      <c r="D18" s="16">
        <v>5.89</v>
      </c>
      <c r="E18" s="16">
        <v>232.19</v>
      </c>
      <c r="F18" s="39">
        <v>39.420999999999999</v>
      </c>
      <c r="G18" s="39" t="s">
        <v>241</v>
      </c>
      <c r="H18" s="39">
        <v>12.776</v>
      </c>
      <c r="I18" s="2" t="s">
        <v>242</v>
      </c>
    </row>
    <row r="19" spans="1:9">
      <c r="A19" s="15">
        <v>45988.916909722226</v>
      </c>
      <c r="B19" s="22">
        <v>210257</v>
      </c>
      <c r="C19" s="2" t="s">
        <v>240</v>
      </c>
      <c r="D19" s="16">
        <v>5.89</v>
      </c>
      <c r="E19" s="16">
        <v>221.29</v>
      </c>
      <c r="F19" s="39">
        <v>37.57</v>
      </c>
      <c r="G19" s="39" t="s">
        <v>241</v>
      </c>
      <c r="H19" s="39">
        <v>12.021000000000001</v>
      </c>
      <c r="I19" s="2" t="s">
        <v>242</v>
      </c>
    </row>
    <row r="20" spans="1:9">
      <c r="A20" s="15">
        <v>45993.61278935185</v>
      </c>
      <c r="B20" s="22">
        <v>210706</v>
      </c>
      <c r="C20" s="2" t="s">
        <v>240</v>
      </c>
      <c r="D20" s="16">
        <v>5.89</v>
      </c>
      <c r="E20" s="16">
        <v>219.99199999999999</v>
      </c>
      <c r="F20" s="39">
        <v>37.35</v>
      </c>
      <c r="G20" s="39" t="s">
        <v>241</v>
      </c>
      <c r="H20" s="39">
        <v>11.544</v>
      </c>
      <c r="I20" s="2" t="s">
        <v>242</v>
      </c>
    </row>
    <row r="21" spans="1:9">
      <c r="A21" s="15">
        <v>46000.252789351849</v>
      </c>
      <c r="B21" s="22">
        <v>211129</v>
      </c>
      <c r="C21" s="2" t="s">
        <v>240</v>
      </c>
      <c r="D21" s="16">
        <v>5.79</v>
      </c>
      <c r="E21" s="16">
        <v>144.75</v>
      </c>
      <c r="F21" s="39">
        <v>25</v>
      </c>
      <c r="G21" s="39" t="s">
        <v>246</v>
      </c>
      <c r="H21" s="39">
        <v>11.544</v>
      </c>
      <c r="I21" s="2" t="s">
        <v>242</v>
      </c>
    </row>
    <row r="22" spans="1:9">
      <c r="A22" s="15">
        <v>46001.52784722222</v>
      </c>
      <c r="B22" s="22">
        <v>211473</v>
      </c>
      <c r="C22" s="2" t="s">
        <v>240</v>
      </c>
      <c r="D22" s="16">
        <v>5.99</v>
      </c>
      <c r="E22" s="16">
        <v>248.232</v>
      </c>
      <c r="F22" s="39">
        <v>41.441000000000003</v>
      </c>
      <c r="G22" s="39" t="s">
        <v>241</v>
      </c>
      <c r="H22" s="39">
        <v>9.32</v>
      </c>
      <c r="I22" s="2" t="s">
        <v>249</v>
      </c>
    </row>
    <row r="23" spans="1:9">
      <c r="A23" s="15">
        <v>46007.513611111113</v>
      </c>
      <c r="B23" s="22">
        <v>211876</v>
      </c>
      <c r="C23" s="2" t="s">
        <v>240</v>
      </c>
      <c r="D23" s="16">
        <v>5.89</v>
      </c>
      <c r="E23" s="16">
        <v>254.684</v>
      </c>
      <c r="F23" s="39">
        <v>43.24</v>
      </c>
      <c r="G23" s="39" t="s">
        <v>241</v>
      </c>
      <c r="H23" s="39">
        <v>9.8970000000000002</v>
      </c>
      <c r="I23" s="2" t="s">
        <v>242</v>
      </c>
    </row>
    <row r="24" spans="1:9">
      <c r="A24" s="15">
        <v>46012.68949074074</v>
      </c>
      <c r="B24" s="22">
        <v>212292</v>
      </c>
      <c r="C24" s="2" t="s">
        <v>240</v>
      </c>
      <c r="D24" s="16">
        <v>5.99</v>
      </c>
      <c r="E24" s="16">
        <v>100</v>
      </c>
      <c r="F24" s="39">
        <v>16.693999999999999</v>
      </c>
      <c r="G24" s="39" t="s">
        <v>246</v>
      </c>
      <c r="H24" s="39">
        <v>9.8970000000000002</v>
      </c>
      <c r="I24" s="2" t="s">
        <v>249</v>
      </c>
    </row>
    <row r="25" spans="1:9">
      <c r="A25" s="15">
        <v>46016.074548611112</v>
      </c>
      <c r="B25" s="22">
        <v>212450</v>
      </c>
      <c r="C25" s="2" t="s">
        <v>240</v>
      </c>
      <c r="D25" s="16">
        <v>5.99</v>
      </c>
      <c r="E25" s="16">
        <v>100.003</v>
      </c>
      <c r="F25" s="39">
        <v>16.695</v>
      </c>
      <c r="G25" s="39" t="s">
        <v>246</v>
      </c>
      <c r="H25" s="39">
        <v>9.8970000000000002</v>
      </c>
      <c r="I25" s="2" t="s">
        <v>249</v>
      </c>
    </row>
    <row r="26" spans="1:9">
      <c r="A26" s="15">
        <v>46025.83</v>
      </c>
      <c r="B26" s="22">
        <v>212660</v>
      </c>
      <c r="C26" s="2" t="s">
        <v>240</v>
      </c>
      <c r="D26" s="16">
        <v>5.89</v>
      </c>
      <c r="E26" s="16">
        <v>269.93900000000002</v>
      </c>
      <c r="F26" s="39">
        <v>45.83</v>
      </c>
      <c r="G26" s="39" t="s">
        <v>241</v>
      </c>
      <c r="H26" s="39">
        <v>11.101000000000001</v>
      </c>
      <c r="I26" s="2" t="s">
        <v>242</v>
      </c>
    </row>
    <row r="27" spans="1:9">
      <c r="A27" s="15">
        <v>46028.826643518521</v>
      </c>
      <c r="B27" s="22">
        <v>212905</v>
      </c>
      <c r="C27" s="2" t="s">
        <v>240</v>
      </c>
      <c r="D27" s="16">
        <v>5.89</v>
      </c>
      <c r="E27" s="16">
        <v>129.99199999999999</v>
      </c>
      <c r="F27" s="39">
        <v>22.07</v>
      </c>
      <c r="G27" s="39" t="s">
        <v>241</v>
      </c>
      <c r="H27" s="39">
        <v>8.7390000000000008</v>
      </c>
      <c r="I27" s="2" t="s">
        <v>242</v>
      </c>
    </row>
    <row r="28" spans="1:9">
      <c r="A28" s="15">
        <v>46034.775787037041</v>
      </c>
      <c r="B28" s="22">
        <v>213347</v>
      </c>
      <c r="C28" s="2" t="s">
        <v>74</v>
      </c>
      <c r="D28" s="16">
        <v>4.84</v>
      </c>
      <c r="E28" s="16">
        <v>99.998999999999995</v>
      </c>
      <c r="F28" s="39">
        <v>20.661000000000001</v>
      </c>
      <c r="G28" s="39" t="s">
        <v>246</v>
      </c>
      <c r="H28" s="39">
        <v>8.7390000000000008</v>
      </c>
      <c r="I28" s="2" t="s">
        <v>242</v>
      </c>
    </row>
    <row r="29" spans="1:9">
      <c r="A29" s="15">
        <v>46039.726921296293</v>
      </c>
      <c r="B29" s="22">
        <v>213486</v>
      </c>
      <c r="C29" s="2" t="s">
        <v>240</v>
      </c>
      <c r="D29" s="16">
        <v>5.99</v>
      </c>
      <c r="E29" s="16">
        <v>274.46199999999999</v>
      </c>
      <c r="F29" s="39">
        <v>45.82</v>
      </c>
      <c r="G29" s="39" t="s">
        <v>241</v>
      </c>
      <c r="H29" s="39">
        <v>10.231</v>
      </c>
      <c r="I29" s="2" t="s">
        <v>242</v>
      </c>
    </row>
    <row r="30" spans="1:9">
      <c r="A30" s="15">
        <v>46053.98978009259</v>
      </c>
      <c r="B30" s="22">
        <v>213965</v>
      </c>
      <c r="C30" s="2" t="s">
        <v>240</v>
      </c>
      <c r="D30" s="16">
        <v>5.99</v>
      </c>
      <c r="E30" s="16">
        <v>145.13800000000001</v>
      </c>
      <c r="F30" s="39">
        <v>24.23</v>
      </c>
      <c r="G30" s="39" t="s">
        <v>246</v>
      </c>
      <c r="H30" s="39">
        <v>10.231</v>
      </c>
      <c r="I30" s="2" t="s">
        <v>242</v>
      </c>
    </row>
    <row r="31" spans="1:9">
      <c r="A31" s="15">
        <v>46058.812256944446</v>
      </c>
      <c r="B31" s="22">
        <v>214223</v>
      </c>
      <c r="C31" s="2" t="s">
        <v>240</v>
      </c>
      <c r="D31" s="16">
        <v>6.39</v>
      </c>
      <c r="E31" s="16">
        <v>75.664000000000001</v>
      </c>
      <c r="F31" s="39">
        <v>11.840999999999999</v>
      </c>
      <c r="G31" s="39" t="s">
        <v>246</v>
      </c>
      <c r="H31" s="39">
        <v>10.231</v>
      </c>
      <c r="I31" s="2" t="s">
        <v>242</v>
      </c>
    </row>
    <row r="32" spans="1:9">
      <c r="A32" s="15">
        <v>46058.90483796296</v>
      </c>
      <c r="B32" s="22">
        <v>214234</v>
      </c>
      <c r="C32" s="2" t="s">
        <v>240</v>
      </c>
      <c r="D32" s="16">
        <v>5.99</v>
      </c>
      <c r="E32" s="16">
        <v>221.87</v>
      </c>
      <c r="F32" s="39">
        <v>37.04</v>
      </c>
      <c r="G32" s="39" t="s">
        <v>241</v>
      </c>
      <c r="H32" s="39">
        <v>10.031000000000001</v>
      </c>
      <c r="I32" s="2" t="s">
        <v>242</v>
      </c>
    </row>
    <row r="33" spans="1:9">
      <c r="A33" s="15">
        <v>46063.941134259258</v>
      </c>
      <c r="B33" s="22">
        <v>214647</v>
      </c>
      <c r="C33" s="2" t="s">
        <v>240</v>
      </c>
      <c r="D33" s="16">
        <v>5.99</v>
      </c>
      <c r="E33" s="16">
        <v>246.62</v>
      </c>
      <c r="F33" s="39">
        <v>41.171999999999997</v>
      </c>
      <c r="G33" s="39" t="s">
        <v>241</v>
      </c>
      <c r="H33" s="39">
        <v>9.7620000000000005</v>
      </c>
      <c r="I33" s="2" t="s">
        <v>242</v>
      </c>
    </row>
    <row r="34" spans="1:9">
      <c r="A34" s="15">
        <v>46073.445335648146</v>
      </c>
      <c r="B34" s="22">
        <v>215033</v>
      </c>
      <c r="C34" s="2" t="s">
        <v>240</v>
      </c>
      <c r="D34" s="16">
        <v>5.99</v>
      </c>
      <c r="E34" s="16">
        <v>236.85</v>
      </c>
      <c r="F34" s="39">
        <v>39.540999999999997</v>
      </c>
      <c r="G34" s="39" t="s">
        <v>241</v>
      </c>
      <c r="H34" s="39">
        <v>9.9339999999999993</v>
      </c>
      <c r="I34" s="2" t="s">
        <v>242</v>
      </c>
    </row>
    <row r="35" spans="1:9">
      <c r="A35" s="15">
        <v>46077.607152777775</v>
      </c>
      <c r="B35" s="22">
        <v>215430</v>
      </c>
      <c r="C35" s="2" t="s">
        <v>240</v>
      </c>
      <c r="D35" s="16">
        <v>6.15</v>
      </c>
      <c r="E35" s="16">
        <v>99.998999999999995</v>
      </c>
      <c r="F35" s="39">
        <v>16.260000000000002</v>
      </c>
      <c r="G35" s="39" t="s">
        <v>246</v>
      </c>
      <c r="H35" s="39">
        <v>9.9339999999999993</v>
      </c>
      <c r="I35" s="2" t="s">
        <v>242</v>
      </c>
    </row>
    <row r="36" spans="1:9">
      <c r="A36" s="15">
        <v>46079.540347222224</v>
      </c>
      <c r="B36" s="22">
        <v>215635</v>
      </c>
      <c r="C36" s="2" t="s">
        <v>240</v>
      </c>
      <c r="D36" s="16">
        <v>5.99</v>
      </c>
      <c r="E36" s="16">
        <v>99.997</v>
      </c>
      <c r="F36" s="39">
        <v>16.693999999999999</v>
      </c>
      <c r="G36" s="39" t="s">
        <v>246</v>
      </c>
      <c r="H36" s="39">
        <v>9.9339999999999993</v>
      </c>
      <c r="I36" s="2" t="s">
        <v>249</v>
      </c>
    </row>
    <row r="37" spans="1:9">
      <c r="A37" s="15">
        <v>46082.667858796296</v>
      </c>
      <c r="B37" s="22">
        <v>215771</v>
      </c>
      <c r="C37" s="2" t="s">
        <v>240</v>
      </c>
      <c r="D37" s="16">
        <v>5.99</v>
      </c>
      <c r="E37" s="16">
        <v>99.997</v>
      </c>
      <c r="F37" s="39">
        <v>16.693999999999999</v>
      </c>
      <c r="G37" s="39" t="s">
        <v>246</v>
      </c>
      <c r="H37" s="39">
        <v>9.9339999999999993</v>
      </c>
      <c r="I37" s="2" t="s">
        <v>249</v>
      </c>
    </row>
    <row r="38" spans="1:9">
      <c r="A38" s="15">
        <v>46087.785717592589</v>
      </c>
      <c r="B38" s="22">
        <v>215966</v>
      </c>
      <c r="C38" s="2" t="s">
        <v>240</v>
      </c>
      <c r="D38" s="16">
        <v>5.99</v>
      </c>
      <c r="E38" s="16">
        <v>265.17700000000002</v>
      </c>
      <c r="F38" s="39">
        <v>44.27</v>
      </c>
      <c r="G38" s="39" t="s">
        <v>241</v>
      </c>
      <c r="H38" s="39">
        <v>8.6890000000000001</v>
      </c>
      <c r="I38" s="2" t="s">
        <v>249</v>
      </c>
    </row>
    <row r="39" spans="1:9">
      <c r="A39" s="15">
        <v>46092.66988425926</v>
      </c>
      <c r="B39" s="22">
        <v>216347</v>
      </c>
      <c r="C39" s="2" t="s">
        <v>240</v>
      </c>
      <c r="D39" s="16">
        <v>6.09</v>
      </c>
      <c r="E39" s="16">
        <v>267.04700000000003</v>
      </c>
      <c r="F39" s="39">
        <v>43.85</v>
      </c>
      <c r="G39" s="39" t="s">
        <v>241</v>
      </c>
      <c r="H39" s="39">
        <v>8.7270000000000003</v>
      </c>
      <c r="I39" s="2" t="s">
        <v>249</v>
      </c>
    </row>
    <row r="40" spans="1:9">
      <c r="A40" s="15">
        <v>46099.645636574074</v>
      </c>
      <c r="B40" s="22">
        <v>216758</v>
      </c>
      <c r="C40" s="2" t="s">
        <v>240</v>
      </c>
      <c r="D40" s="16">
        <v>6.38</v>
      </c>
      <c r="E40" s="16">
        <v>31.9</v>
      </c>
      <c r="F40" s="39">
        <v>5</v>
      </c>
      <c r="G40" s="39" t="s">
        <v>246</v>
      </c>
      <c r="H40" s="39">
        <v>8.7270000000000003</v>
      </c>
      <c r="I40" s="2" t="s">
        <v>249</v>
      </c>
    </row>
    <row r="41" spans="1:9">
      <c r="A41" s="15">
        <v>46099.72583333333</v>
      </c>
      <c r="B41" s="22">
        <v>216780</v>
      </c>
      <c r="C41" s="2" t="s">
        <v>240</v>
      </c>
      <c r="D41" s="16">
        <v>6.39</v>
      </c>
      <c r="E41" s="16">
        <v>285.08999999999997</v>
      </c>
      <c r="F41" s="39">
        <v>44.615000000000002</v>
      </c>
      <c r="G41" s="39" t="s">
        <v>241</v>
      </c>
      <c r="H41" s="39">
        <v>9.2200000000000006</v>
      </c>
      <c r="I41" s="2" t="s">
        <v>249</v>
      </c>
    </row>
    <row r="42" spans="1:9">
      <c r="A42" s="15">
        <v>46112.848090277781</v>
      </c>
      <c r="B42" s="22">
        <v>217192</v>
      </c>
      <c r="C42" s="2" t="s">
        <v>240</v>
      </c>
      <c r="D42" s="16">
        <v>6.49</v>
      </c>
      <c r="E42" s="16">
        <v>290.01900000000001</v>
      </c>
      <c r="F42" s="39">
        <v>44.686999999999998</v>
      </c>
      <c r="G42" s="39" t="s">
        <v>241</v>
      </c>
      <c r="H42" s="39">
        <v>9.3719999999999999</v>
      </c>
      <c r="I42" s="2" t="s">
        <v>249</v>
      </c>
    </row>
    <row r="43" spans="1:9">
      <c r="A43" s="15">
        <v>46118.886238425926</v>
      </c>
      <c r="B43" s="22">
        <v>217622</v>
      </c>
      <c r="C43" s="2" t="s">
        <v>240</v>
      </c>
      <c r="D43" s="16">
        <v>6.79</v>
      </c>
      <c r="E43" s="16">
        <v>311.52499999999998</v>
      </c>
      <c r="F43" s="39">
        <v>45.88</v>
      </c>
      <c r="G43" s="39" t="s">
        <v>241</v>
      </c>
      <c r="H43" s="39">
        <v>8.8469999999999995</v>
      </c>
      <c r="I43" s="2" t="s">
        <v>242</v>
      </c>
    </row>
    <row r="44" spans="1:9">
      <c r="A44" s="15">
        <v>46133.277870370373</v>
      </c>
      <c r="B44" s="22">
        <v>218063</v>
      </c>
      <c r="C44" s="2" t="s">
        <v>74</v>
      </c>
      <c r="D44" s="16">
        <v>4.49</v>
      </c>
      <c r="E44" s="16">
        <v>120</v>
      </c>
      <c r="F44" s="39">
        <v>26.725999999999999</v>
      </c>
      <c r="G44" s="39" t="s">
        <v>246</v>
      </c>
      <c r="H44" s="39">
        <v>8.8469999999999995</v>
      </c>
      <c r="I44" s="2" t="s">
        <v>242</v>
      </c>
    </row>
    <row r="45" spans="1:9">
      <c r="A45" s="15">
        <v>46134.883761574078</v>
      </c>
      <c r="B45" s="22">
        <v>218251</v>
      </c>
      <c r="C45" s="2" t="s">
        <v>74</v>
      </c>
      <c r="D45" s="16">
        <v>4.1900000000000004</v>
      </c>
      <c r="E45" s="16">
        <v>185.91</v>
      </c>
      <c r="F45" s="39">
        <v>44.37</v>
      </c>
      <c r="G45" s="39" t="s">
        <v>241</v>
      </c>
      <c r="H45" s="39">
        <v>6.73</v>
      </c>
      <c r="I45" s="2" t="s">
        <v>242</v>
      </c>
    </row>
    <row r="46" spans="1:9">
      <c r="A46" s="15">
        <v>46139.119143518517</v>
      </c>
      <c r="B46" s="22">
        <v>218552</v>
      </c>
      <c r="C46" s="2" t="s">
        <v>74</v>
      </c>
      <c r="D46" s="16">
        <v>4.1900000000000004</v>
      </c>
      <c r="E46" s="16">
        <v>20.95</v>
      </c>
      <c r="F46" s="39">
        <v>5</v>
      </c>
      <c r="G46" s="39" t="s">
        <v>246</v>
      </c>
      <c r="H46" s="39">
        <v>6.73</v>
      </c>
      <c r="I46" s="2" t="s">
        <v>242</v>
      </c>
    </row>
    <row r="47" spans="1:9">
      <c r="A47" s="15">
        <v>46140.265949074077</v>
      </c>
      <c r="B47" s="22">
        <v>218567</v>
      </c>
      <c r="C47" s="2" t="s">
        <v>240</v>
      </c>
      <c r="D47" s="16">
        <v>6.49</v>
      </c>
      <c r="E47" s="16">
        <v>272.262</v>
      </c>
      <c r="F47" s="39">
        <v>41.951000000000001</v>
      </c>
      <c r="G47" s="39" t="s">
        <v>241</v>
      </c>
      <c r="H47" s="39">
        <v>9.8759999999999994</v>
      </c>
      <c r="I47" s="2" t="s">
        <v>242</v>
      </c>
    </row>
    <row r="48" spans="1:9">
      <c r="A48" s="15">
        <v>46147.803043981483</v>
      </c>
      <c r="B48" s="22">
        <v>218948</v>
      </c>
      <c r="C48" s="2" t="s">
        <v>240</v>
      </c>
      <c r="D48" s="16">
        <v>6.19</v>
      </c>
      <c r="E48" s="16">
        <v>123.8</v>
      </c>
      <c r="F48" s="39">
        <v>20</v>
      </c>
      <c r="G48" s="39" t="s">
        <v>246</v>
      </c>
      <c r="H48" s="39">
        <v>9.8759999999999994</v>
      </c>
      <c r="I48" s="2" t="s">
        <v>250</v>
      </c>
    </row>
    <row r="49" spans="1:9">
      <c r="A49" s="15">
        <v>46148.76630787037</v>
      </c>
      <c r="B49" s="22">
        <v>219101</v>
      </c>
      <c r="C49" s="2" t="s">
        <v>251</v>
      </c>
      <c r="D49" s="16">
        <v>8.99</v>
      </c>
      <c r="E49" s="16">
        <v>134.87700000000001</v>
      </c>
      <c r="F49" s="39">
        <v>15.003</v>
      </c>
      <c r="G49" s="39" t="s">
        <v>246</v>
      </c>
      <c r="H49" s="39">
        <v>9.8759999999999994</v>
      </c>
      <c r="I49" s="2" t="s">
        <v>250</v>
      </c>
    </row>
    <row r="50" spans="1:9">
      <c r="A50" s="15">
        <v>46150.8128125</v>
      </c>
      <c r="B50" s="22">
        <v>219277</v>
      </c>
      <c r="C50" s="2" t="s">
        <v>240</v>
      </c>
      <c r="D50" s="16">
        <v>6.49</v>
      </c>
      <c r="E50" s="16">
        <v>99.998000000000005</v>
      </c>
      <c r="F50" s="39">
        <v>15.407999999999999</v>
      </c>
      <c r="G50" s="39" t="s">
        <v>246</v>
      </c>
      <c r="H50" s="39">
        <v>9.8759999999999994</v>
      </c>
      <c r="I50" s="2" t="s">
        <v>249</v>
      </c>
    </row>
    <row r="51" spans="1:9">
      <c r="A51" s="15">
        <v>46153.577326388891</v>
      </c>
      <c r="B51" s="22">
        <v>219398</v>
      </c>
      <c r="C51" s="2" t="s">
        <v>240</v>
      </c>
      <c r="D51" s="16">
        <v>6.49</v>
      </c>
      <c r="E51" s="16">
        <v>99.998000000000005</v>
      </c>
      <c r="F51" s="39">
        <v>15.407999999999999</v>
      </c>
      <c r="G51" s="39" t="s">
        <v>246</v>
      </c>
      <c r="H51" s="39">
        <v>9.8759999999999994</v>
      </c>
      <c r="I51" s="2" t="s">
        <v>242</v>
      </c>
    </row>
    <row r="52" spans="1:9">
      <c r="A52" s="15">
        <v>46155.278402777774</v>
      </c>
      <c r="B52" s="22">
        <v>219467</v>
      </c>
      <c r="C52" s="2" t="s">
        <v>240</v>
      </c>
      <c r="D52" s="16">
        <v>6.39</v>
      </c>
      <c r="E52" s="16">
        <v>150.005</v>
      </c>
      <c r="F52" s="39">
        <v>23.475000000000001</v>
      </c>
      <c r="G52" s="39" t="s">
        <v>246</v>
      </c>
      <c r="H52" s="39">
        <v>9.8759999999999994</v>
      </c>
      <c r="I52" s="2" t="s">
        <v>242</v>
      </c>
    </row>
    <row r="53" spans="1:9">
      <c r="A53" s="15">
        <v>46159.025856481479</v>
      </c>
      <c r="B53" s="22">
        <v>219706</v>
      </c>
      <c r="C53" s="2" t="s">
        <v>240</v>
      </c>
      <c r="D53" s="16">
        <v>6.09</v>
      </c>
      <c r="E53" s="16">
        <v>91.35</v>
      </c>
      <c r="F53" s="39">
        <v>15</v>
      </c>
      <c r="G53" s="39" t="s">
        <v>246</v>
      </c>
      <c r="H53" s="39">
        <v>9.8759999999999994</v>
      </c>
      <c r="I53" s="2" t="s">
        <v>242</v>
      </c>
    </row>
    <row r="54" spans="1:9">
      <c r="A54" s="15">
        <v>46161.284004629626</v>
      </c>
      <c r="B54" s="22">
        <v>219811</v>
      </c>
      <c r="C54" s="2" t="s">
        <v>240</v>
      </c>
      <c r="D54" s="16">
        <v>6.39</v>
      </c>
      <c r="E54" s="16">
        <v>127.8</v>
      </c>
      <c r="F54" s="39">
        <v>20</v>
      </c>
      <c r="G54" s="39" t="s">
        <v>246</v>
      </c>
      <c r="H54" s="39">
        <v>9.8759999999999994</v>
      </c>
      <c r="I54" s="2" t="s">
        <v>242</v>
      </c>
    </row>
    <row r="55" spans="1:9">
      <c r="A55" s="15">
        <v>46163.806400462963</v>
      </c>
      <c r="B55" s="22">
        <v>219992</v>
      </c>
      <c r="C55" s="2" t="s">
        <v>240</v>
      </c>
      <c r="D55" s="16">
        <v>6.49</v>
      </c>
      <c r="E55" s="16">
        <v>129.80000000000001</v>
      </c>
      <c r="F55" s="39">
        <v>20</v>
      </c>
      <c r="G55" s="39" t="s">
        <v>241</v>
      </c>
      <c r="H55" s="39">
        <v>5.8730000000000002</v>
      </c>
      <c r="I55" s="2" t="s">
        <v>242</v>
      </c>
    </row>
    <row r="56" spans="1:9">
      <c r="A56" s="15">
        <v>46167.686215277776</v>
      </c>
      <c r="B56" s="22">
        <v>220147</v>
      </c>
      <c r="C56" s="2" t="s">
        <v>240</v>
      </c>
      <c r="D56" s="16">
        <v>6.89</v>
      </c>
      <c r="E56" s="16">
        <v>70</v>
      </c>
      <c r="F56" s="39">
        <v>10.16</v>
      </c>
      <c r="G56" s="39" t="s">
        <v>246</v>
      </c>
      <c r="H56" s="39">
        <v>5.8730000000000002</v>
      </c>
      <c r="I56" s="2" t="s">
        <v>242</v>
      </c>
    </row>
    <row r="57" spans="1:9">
      <c r="A57" s="15">
        <v>46169.269895833335</v>
      </c>
      <c r="B57" s="22">
        <v>220242</v>
      </c>
      <c r="C57" s="2" t="s">
        <v>251</v>
      </c>
      <c r="D57" s="16">
        <v>8.99</v>
      </c>
      <c r="E57" s="16">
        <v>44.95</v>
      </c>
      <c r="F57" s="39">
        <v>5</v>
      </c>
      <c r="G57" s="39" t="s">
        <v>246</v>
      </c>
      <c r="H57" s="39">
        <v>5.8730000000000002</v>
      </c>
      <c r="I57" s="2" t="s">
        <v>242</v>
      </c>
    </row>
    <row r="58" spans="1:9">
      <c r="A58" s="15">
        <v>46169.809837962966</v>
      </c>
      <c r="B58" s="22">
        <v>220287</v>
      </c>
      <c r="C58" s="2" t="s">
        <v>240</v>
      </c>
      <c r="D58" s="16">
        <v>6.39</v>
      </c>
      <c r="E58" s="16">
        <v>19.170000000000002</v>
      </c>
      <c r="F58" s="39">
        <v>3</v>
      </c>
      <c r="G58" s="39" t="s">
        <v>246</v>
      </c>
      <c r="H58" s="39">
        <v>5.8730000000000002</v>
      </c>
      <c r="I58" s="2" t="s">
        <v>242</v>
      </c>
    </row>
    <row r="59" spans="1:9">
      <c r="A59" s="15">
        <v>46170.26834490741</v>
      </c>
      <c r="B59" s="22">
        <v>220314</v>
      </c>
      <c r="C59" s="2" t="s">
        <v>251</v>
      </c>
      <c r="D59" s="16">
        <v>8.99</v>
      </c>
      <c r="E59" s="16">
        <v>89.9</v>
      </c>
      <c r="F59" s="39">
        <v>10</v>
      </c>
      <c r="G59" s="39" t="s">
        <v>246</v>
      </c>
      <c r="H59" s="39">
        <v>5.8730000000000002</v>
      </c>
      <c r="I59" s="2" t="s">
        <v>242</v>
      </c>
    </row>
    <row r="60" spans="1:9">
      <c r="A60" s="15">
        <v>46171.280729166669</v>
      </c>
      <c r="B60" s="22">
        <v>220403</v>
      </c>
      <c r="C60" s="2" t="s">
        <v>251</v>
      </c>
      <c r="D60" s="16">
        <v>8.39</v>
      </c>
      <c r="E60" s="16">
        <v>83.9</v>
      </c>
      <c r="F60" s="39">
        <v>10</v>
      </c>
      <c r="G60" s="39" t="s">
        <v>246</v>
      </c>
      <c r="H60" s="39">
        <v>5.8730000000000002</v>
      </c>
      <c r="I60" s="2" t="s">
        <v>242</v>
      </c>
    </row>
    <row r="61" spans="1:9">
      <c r="A61" s="15">
        <v>46171.739479166667</v>
      </c>
      <c r="B61" s="22">
        <v>220445</v>
      </c>
      <c r="C61" s="2" t="s">
        <v>251</v>
      </c>
      <c r="D61" s="16">
        <v>8.39</v>
      </c>
      <c r="E61" s="16">
        <v>326.95800000000003</v>
      </c>
      <c r="F61" s="39">
        <v>38.97</v>
      </c>
      <c r="G61" s="39" t="s">
        <v>241</v>
      </c>
      <c r="H61" s="39">
        <v>8.8130000000000006</v>
      </c>
      <c r="I61" s="2" t="s">
        <v>242</v>
      </c>
    </row>
    <row r="62" spans="1:9">
      <c r="A62" s="15">
        <v>46180.889733796299</v>
      </c>
      <c r="B62" s="22">
        <v>220843</v>
      </c>
      <c r="C62" s="2" t="s">
        <v>240</v>
      </c>
      <c r="D62" s="16">
        <v>6.99</v>
      </c>
      <c r="E62" s="16">
        <v>34.950000000000003</v>
      </c>
      <c r="F62" s="39">
        <v>5</v>
      </c>
      <c r="G62" s="39" t="s">
        <v>246</v>
      </c>
      <c r="H62" s="39">
        <v>8.8130000000000006</v>
      </c>
      <c r="I62" s="2" t="s">
        <v>242</v>
      </c>
    </row>
    <row r="63" spans="1:9">
      <c r="A63" s="15">
        <v>46182.759432870371</v>
      </c>
      <c r="B63" s="22">
        <v>220889</v>
      </c>
      <c r="C63" s="2" t="s">
        <v>240</v>
      </c>
      <c r="D63" s="16">
        <v>6.49</v>
      </c>
      <c r="E63" s="16">
        <v>294.51600000000002</v>
      </c>
      <c r="F63" s="39">
        <v>45.38</v>
      </c>
      <c r="G63" s="39" t="s">
        <v>241</v>
      </c>
      <c r="H63" s="39">
        <v>8.1509999999999998</v>
      </c>
      <c r="I63" s="2" t="s">
        <v>242</v>
      </c>
    </row>
    <row r="64" spans="1:9">
      <c r="A64" s="15">
        <v>46191.752268518518</v>
      </c>
      <c r="B64" s="22">
        <v>221262</v>
      </c>
      <c r="C64" s="2" t="s">
        <v>240</v>
      </c>
      <c r="D64" s="16">
        <v>6.49</v>
      </c>
      <c r="E64" s="16">
        <v>296.98200000000003</v>
      </c>
      <c r="F64" s="39">
        <v>45.76</v>
      </c>
      <c r="G64" s="39" t="s">
        <v>241</v>
      </c>
      <c r="H64" s="39">
        <v>9.2469999999999999</v>
      </c>
      <c r="I64" s="2" t="s">
        <v>242</v>
      </c>
    </row>
    <row r="65" spans="1:9">
      <c r="A65" s="15">
        <v>46200.625173611108</v>
      </c>
      <c r="B65" s="22">
        <v>221665</v>
      </c>
      <c r="C65" s="2" t="s">
        <v>240</v>
      </c>
      <c r="D65" s="16">
        <v>6.59</v>
      </c>
      <c r="E65" s="16">
        <v>26.36</v>
      </c>
      <c r="F65" s="39">
        <v>4</v>
      </c>
      <c r="G65" s="39" t="s">
        <v>246</v>
      </c>
      <c r="H65" s="39">
        <v>9.2469999999999999</v>
      </c>
      <c r="I65" s="2" t="s">
        <v>252</v>
      </c>
    </row>
    <row r="66" spans="1:9">
      <c r="A66" s="15">
        <v>46201.488553240742</v>
      </c>
      <c r="B66" s="22">
        <v>221712</v>
      </c>
      <c r="C66" s="2" t="s">
        <v>240</v>
      </c>
      <c r="D66" s="16">
        <v>6.39</v>
      </c>
      <c r="E66" s="16">
        <v>285.39</v>
      </c>
      <c r="F66" s="39">
        <v>44.661999999999999</v>
      </c>
      <c r="G66" s="39" t="s">
        <v>241</v>
      </c>
      <c r="H66" s="39">
        <v>9.2789999999999999</v>
      </c>
      <c r="I66" s="2" t="s">
        <v>249</v>
      </c>
    </row>
    <row r="67" spans="1:9">
      <c r="A67" s="15">
        <v>46215.846296296295</v>
      </c>
      <c r="B67" s="22">
        <v>222087</v>
      </c>
      <c r="C67" s="2" t="s">
        <v>240</v>
      </c>
      <c r="D67" s="16">
        <v>6.39</v>
      </c>
      <c r="E67" s="16">
        <v>258.233</v>
      </c>
      <c r="F67" s="39">
        <v>40.411999999999999</v>
      </c>
      <c r="G67" s="39" t="s">
        <v>241</v>
      </c>
      <c r="H67" s="39">
        <v>9.1999999999999993</v>
      </c>
      <c r="I67" s="2" t="s">
        <v>248</v>
      </c>
    </row>
    <row r="68" spans="1:9">
      <c r="A68" s="15">
        <v>46222.826770833337</v>
      </c>
      <c r="B68" s="22">
        <v>222469</v>
      </c>
      <c r="C68" s="2" t="s">
        <v>240</v>
      </c>
      <c r="D68" s="16">
        <v>6.49</v>
      </c>
      <c r="E68" s="16">
        <v>107.001</v>
      </c>
      <c r="F68" s="39">
        <v>16.486999999999998</v>
      </c>
      <c r="G68" s="39" t="s">
        <v>246</v>
      </c>
      <c r="H68" s="39">
        <v>9.1999999999999993</v>
      </c>
      <c r="I68" s="2" t="s">
        <v>242</v>
      </c>
    </row>
    <row r="69" spans="1:9">
      <c r="A69" s="15">
        <v>46225.681354166663</v>
      </c>
      <c r="B69" s="22">
        <v>222644</v>
      </c>
      <c r="C69" s="2" t="s">
        <v>240</v>
      </c>
      <c r="D69" s="16">
        <v>6.49</v>
      </c>
      <c r="E69" s="16">
        <v>129.80000000000001</v>
      </c>
      <c r="F69" s="39">
        <v>20</v>
      </c>
      <c r="G69" s="39" t="s">
        <v>246</v>
      </c>
      <c r="H69" s="39">
        <v>9.1999999999999993</v>
      </c>
      <c r="I69" s="2" t="s">
        <v>242</v>
      </c>
    </row>
    <row r="70" spans="1:9">
      <c r="A70" s="15">
        <v>46229.646909722222</v>
      </c>
      <c r="B70" s="22">
        <v>222818</v>
      </c>
      <c r="C70" s="2" t="s">
        <v>240</v>
      </c>
      <c r="D70" s="16">
        <v>6.29</v>
      </c>
      <c r="E70" s="16">
        <v>125.8</v>
      </c>
      <c r="F70" s="39">
        <v>20</v>
      </c>
      <c r="G70" s="39" t="s">
        <v>246</v>
      </c>
      <c r="H70" s="39">
        <v>9.1999999999999993</v>
      </c>
      <c r="I70" s="2" t="s">
        <v>249</v>
      </c>
    </row>
    <row r="71" spans="1:9">
      <c r="A71" s="15">
        <v>46232.304791666669</v>
      </c>
      <c r="B71" s="22">
        <v>223037</v>
      </c>
      <c r="C71" s="2" t="s">
        <v>240</v>
      </c>
      <c r="D71" s="16">
        <v>6.29</v>
      </c>
      <c r="E71" s="16">
        <v>31.45</v>
      </c>
      <c r="F71" s="39">
        <v>5</v>
      </c>
      <c r="G71" s="39" t="s">
        <v>246</v>
      </c>
      <c r="H71" s="39">
        <v>9.1999999999999993</v>
      </c>
      <c r="I71" s="2" t="s">
        <v>253</v>
      </c>
    </row>
    <row r="72" spans="1:9">
      <c r="A72" s="15">
        <v>46233.309988425928</v>
      </c>
      <c r="B72" s="22">
        <v>223110</v>
      </c>
      <c r="C72" s="2" t="s">
        <v>240</v>
      </c>
      <c r="D72" s="16">
        <v>6.29</v>
      </c>
      <c r="E72" s="16">
        <v>31.45</v>
      </c>
      <c r="F72" s="39">
        <v>5</v>
      </c>
      <c r="G72" s="39" t="s">
        <v>246</v>
      </c>
      <c r="H72" s="39">
        <v>9.1999999999999993</v>
      </c>
      <c r="I72" s="2" t="s">
        <v>253</v>
      </c>
    </row>
    <row r="73" spans="1:9">
      <c r="A73" s="15">
        <v>46233.976215277777</v>
      </c>
      <c r="B73" s="22">
        <v>223162</v>
      </c>
      <c r="C73" s="2" t="s">
        <v>240</v>
      </c>
      <c r="D73" s="16">
        <v>6.29</v>
      </c>
      <c r="E73" s="16">
        <v>30</v>
      </c>
      <c r="F73" s="39">
        <v>4.7690000000000001</v>
      </c>
      <c r="G73" s="39" t="s">
        <v>246</v>
      </c>
      <c r="H73" s="39">
        <v>9.1999999999999993</v>
      </c>
      <c r="I73" s="2" t="s">
        <v>249</v>
      </c>
    </row>
    <row r="74" spans="1:9">
      <c r="A74" s="15">
        <v>46234.331770833334</v>
      </c>
      <c r="B74" s="22">
        <v>223182</v>
      </c>
      <c r="C74" s="2" t="s">
        <v>240</v>
      </c>
      <c r="D74" s="16">
        <v>6.29</v>
      </c>
      <c r="E74" s="16">
        <v>18.87</v>
      </c>
      <c r="F74" s="39">
        <v>3</v>
      </c>
      <c r="G74" s="39" t="s">
        <v>246</v>
      </c>
      <c r="H74" s="39">
        <v>9.1999999999999993</v>
      </c>
      <c r="I74" s="2" t="s">
        <v>253</v>
      </c>
    </row>
    <row r="75" spans="1:9">
      <c r="A75" s="15">
        <v>46234.791342592594</v>
      </c>
      <c r="B75" s="22">
        <v>223209</v>
      </c>
      <c r="C75" s="2" t="s">
        <v>240</v>
      </c>
      <c r="D75" s="16">
        <v>6.29</v>
      </c>
      <c r="E75" s="16">
        <v>18.87</v>
      </c>
      <c r="F75" s="39">
        <v>3</v>
      </c>
      <c r="G75" s="39" t="s">
        <v>246</v>
      </c>
      <c r="H75" s="39">
        <v>9.1999999999999993</v>
      </c>
      <c r="I75" s="2" t="s">
        <v>249</v>
      </c>
    </row>
    <row r="76" spans="1:9">
      <c r="A76" s="15">
        <v>46235.527986111112</v>
      </c>
      <c r="B76" s="22">
        <v>223230</v>
      </c>
      <c r="C76" s="2" t="s">
        <v>240</v>
      </c>
      <c r="D76" s="16">
        <v>6.29</v>
      </c>
      <c r="E76" s="16">
        <v>50.32</v>
      </c>
      <c r="F76" s="39">
        <v>8</v>
      </c>
      <c r="G76" s="39" t="s">
        <v>246</v>
      </c>
      <c r="H76" s="39">
        <v>9.1999999999999993</v>
      </c>
      <c r="I76" s="2" t="s">
        <v>249</v>
      </c>
    </row>
    <row r="77" spans="1:9">
      <c r="A77" s="15">
        <v>46235.530601851853</v>
      </c>
      <c r="B77" s="22">
        <v>223231</v>
      </c>
      <c r="C77" s="2" t="s">
        <v>74</v>
      </c>
      <c r="D77" s="16">
        <v>3.69</v>
      </c>
      <c r="E77" s="16">
        <v>144.22399999999999</v>
      </c>
      <c r="F77" s="39">
        <v>39.085000000000001</v>
      </c>
      <c r="G77" s="39" t="s">
        <v>241</v>
      </c>
      <c r="H77" s="39">
        <v>7.6470000000000002</v>
      </c>
      <c r="I77" s="2" t="s">
        <v>249</v>
      </c>
    </row>
    <row r="78" spans="1:9">
      <c r="A78" s="15">
        <v>46240.843530092592</v>
      </c>
      <c r="B78" s="22">
        <v>223555</v>
      </c>
      <c r="C78" s="2" t="s">
        <v>240</v>
      </c>
      <c r="D78" s="16">
        <v>6.29</v>
      </c>
      <c r="E78" s="16">
        <v>50.32</v>
      </c>
      <c r="F78" s="39">
        <v>8</v>
      </c>
      <c r="G78" s="39" t="s">
        <v>246</v>
      </c>
      <c r="H78" s="39">
        <v>7.6470000000000002</v>
      </c>
      <c r="I78" s="2" t="s">
        <v>249</v>
      </c>
    </row>
    <row r="79" spans="1:9">
      <c r="A79" s="15">
        <v>46240.844340277778</v>
      </c>
      <c r="B79" s="22">
        <v>223556</v>
      </c>
      <c r="C79" s="2" t="s">
        <v>74</v>
      </c>
      <c r="D79" s="16">
        <v>3.69</v>
      </c>
      <c r="E79" s="16">
        <v>127.312</v>
      </c>
      <c r="F79" s="39">
        <v>34.502000000000002</v>
      </c>
      <c r="G79" s="39" t="s">
        <v>241</v>
      </c>
      <c r="H79" s="39">
        <v>7.6210000000000004</v>
      </c>
      <c r="I79" s="2" t="s">
        <v>249</v>
      </c>
    </row>
    <row r="80" spans="1:9">
      <c r="A80" s="15">
        <v>46244.967453703706</v>
      </c>
      <c r="B80" s="22">
        <v>223875</v>
      </c>
      <c r="C80" s="2" t="s">
        <v>240</v>
      </c>
      <c r="D80" s="16">
        <v>6.49</v>
      </c>
      <c r="E80" s="16">
        <v>64.900000000000006</v>
      </c>
      <c r="F80" s="39">
        <v>10</v>
      </c>
      <c r="G80" s="39" t="s">
        <v>246</v>
      </c>
      <c r="H80" s="39">
        <v>7.6210000000000004</v>
      </c>
      <c r="I80" s="2" t="s">
        <v>242</v>
      </c>
    </row>
    <row r="81" spans="1:9">
      <c r="A81" s="15">
        <v>46244.967962962961</v>
      </c>
      <c r="B81" s="22">
        <v>223876</v>
      </c>
      <c r="C81" s="2" t="s">
        <v>74</v>
      </c>
      <c r="D81" s="16">
        <v>3.59</v>
      </c>
      <c r="E81" s="16">
        <v>114.84399999999999</v>
      </c>
      <c r="F81" s="39">
        <v>31.99</v>
      </c>
      <c r="G81" s="39" t="s">
        <v>241</v>
      </c>
      <c r="H81" s="39">
        <v>6.1909999999999998</v>
      </c>
      <c r="I81" s="2" t="s">
        <v>242</v>
      </c>
    </row>
    <row r="82" spans="1:9">
      <c r="A82" s="15">
        <v>46247.652303240742</v>
      </c>
      <c r="B82" s="22">
        <v>224046</v>
      </c>
      <c r="C82" s="2" t="s">
        <v>240</v>
      </c>
      <c r="D82" s="16">
        <v>6.08</v>
      </c>
      <c r="E82" s="16">
        <v>166.96299999999999</v>
      </c>
      <c r="F82" s="39">
        <v>27.460999999999999</v>
      </c>
      <c r="G82" s="39" t="s">
        <v>241</v>
      </c>
      <c r="H82" s="39">
        <v>11.039</v>
      </c>
      <c r="I82" s="2" t="s">
        <v>254</v>
      </c>
    </row>
    <row r="83" spans="1:9">
      <c r="A83" s="15">
        <v>46250.511678240742</v>
      </c>
      <c r="B83" s="22">
        <v>224296</v>
      </c>
      <c r="C83" s="2" t="s">
        <v>240</v>
      </c>
      <c r="D83" s="16">
        <v>6.69</v>
      </c>
      <c r="E83" s="16">
        <v>66.900000000000006</v>
      </c>
      <c r="F83" s="39">
        <v>10</v>
      </c>
      <c r="G83" s="39" t="s">
        <v>246</v>
      </c>
      <c r="H83" s="39">
        <v>11.039</v>
      </c>
      <c r="I83" s="2" t="s">
        <v>254</v>
      </c>
    </row>
    <row r="84" spans="1:9">
      <c r="A84" s="15">
        <v>46252.802569444444</v>
      </c>
      <c r="B84" s="22">
        <v>224684</v>
      </c>
      <c r="C84" s="2" t="s">
        <v>74</v>
      </c>
      <c r="D84" s="16">
        <v>3.59</v>
      </c>
      <c r="E84" s="16">
        <v>136.01400000000001</v>
      </c>
      <c r="F84" s="39">
        <v>37.887</v>
      </c>
      <c r="G84" s="39" t="s">
        <v>246</v>
      </c>
      <c r="H84" s="39">
        <v>11.039</v>
      </c>
      <c r="I84" s="2" t="s">
        <v>249</v>
      </c>
    </row>
    <row r="85" spans="1:9">
      <c r="A85" s="15">
        <v>46252.803472222222</v>
      </c>
      <c r="B85" s="22">
        <v>224685</v>
      </c>
      <c r="C85" s="2" t="s">
        <v>240</v>
      </c>
      <c r="D85" s="16">
        <v>6.29</v>
      </c>
      <c r="E85" s="16">
        <v>62.9</v>
      </c>
      <c r="F85" s="39">
        <v>10</v>
      </c>
      <c r="G85" s="39" t="s">
        <v>241</v>
      </c>
      <c r="H85" s="39">
        <v>7.5449999999999999</v>
      </c>
      <c r="I85" s="2" t="s">
        <v>249</v>
      </c>
    </row>
    <row r="86" spans="1:9">
      <c r="A86" s="15">
        <v>46256.785601851851</v>
      </c>
      <c r="B86" s="22">
        <v>224995</v>
      </c>
      <c r="C86" s="2" t="s">
        <v>74</v>
      </c>
      <c r="D86" s="16">
        <v>3.59</v>
      </c>
      <c r="E86" s="16">
        <v>112.08</v>
      </c>
      <c r="F86" s="39">
        <v>31.22</v>
      </c>
      <c r="G86" s="39" t="s">
        <v>246</v>
      </c>
      <c r="H86" s="39">
        <v>7.5449999999999999</v>
      </c>
      <c r="I86" s="2" t="s">
        <v>249</v>
      </c>
    </row>
    <row r="87" spans="1:9">
      <c r="A87" s="15">
        <v>46256.788622685184</v>
      </c>
      <c r="B87" s="22">
        <v>224996</v>
      </c>
      <c r="C87" s="2" t="s">
        <v>240</v>
      </c>
      <c r="D87" s="16">
        <v>6.29</v>
      </c>
      <c r="E87" s="16">
        <v>62.9</v>
      </c>
      <c r="F87" s="39">
        <v>10</v>
      </c>
      <c r="G87" s="39" t="s">
        <v>241</v>
      </c>
      <c r="H87" s="39">
        <v>7.6059999999999999</v>
      </c>
      <c r="I87" s="2" t="s">
        <v>249</v>
      </c>
    </row>
    <row r="88" spans="1:9">
      <c r="A88" s="15">
        <v>46262.655115740738</v>
      </c>
      <c r="B88" s="22">
        <v>225349</v>
      </c>
      <c r="C88" s="2" t="s">
        <v>240</v>
      </c>
      <c r="D88" s="16">
        <v>6.54</v>
      </c>
      <c r="E88" s="16">
        <v>65.400000000000006</v>
      </c>
      <c r="F88" s="39">
        <v>10</v>
      </c>
      <c r="G88" s="39" t="s">
        <v>246</v>
      </c>
      <c r="H88" s="39">
        <v>7.6059999999999999</v>
      </c>
      <c r="I88" s="2" t="s">
        <v>249</v>
      </c>
    </row>
    <row r="89" spans="1:9">
      <c r="A89" s="15">
        <v>46263.561990740738</v>
      </c>
      <c r="B89" s="22">
        <v>225420</v>
      </c>
      <c r="C89" s="2" t="s">
        <v>74</v>
      </c>
      <c r="D89" s="16">
        <v>3.59</v>
      </c>
      <c r="E89" s="16">
        <v>92.909000000000006</v>
      </c>
      <c r="F89" s="39">
        <v>25.88</v>
      </c>
      <c r="G89" s="39" t="s">
        <v>246</v>
      </c>
      <c r="H89" s="39">
        <v>7.6059999999999999</v>
      </c>
      <c r="I89" s="2" t="s">
        <v>249</v>
      </c>
    </row>
    <row r="90" spans="1:9">
      <c r="A90" s="15">
        <v>46263.564513888887</v>
      </c>
      <c r="B90" s="22">
        <v>225421</v>
      </c>
      <c r="C90" s="2" t="s">
        <v>240</v>
      </c>
      <c r="D90" s="16">
        <v>6.29</v>
      </c>
      <c r="E90" s="16">
        <v>125.8</v>
      </c>
      <c r="F90" s="39">
        <v>20</v>
      </c>
      <c r="G90" s="39" t="s">
        <v>241</v>
      </c>
      <c r="H90" s="39">
        <v>8.1620000000000008</v>
      </c>
      <c r="I90" s="2" t="s">
        <v>249</v>
      </c>
    </row>
    <row r="91" spans="1:9">
      <c r="A91" s="15">
        <v>46267.958298611113</v>
      </c>
      <c r="B91" s="22">
        <v>225766</v>
      </c>
      <c r="C91" s="2" t="s">
        <v>74</v>
      </c>
      <c r="D91" s="16">
        <v>3.99</v>
      </c>
      <c r="E91" s="16">
        <v>109.286</v>
      </c>
      <c r="F91" s="39">
        <v>27.39</v>
      </c>
      <c r="G91" s="39" t="s">
        <v>246</v>
      </c>
      <c r="H91" s="39">
        <v>8.1620000000000008</v>
      </c>
      <c r="I91" s="2" t="s">
        <v>242</v>
      </c>
    </row>
    <row r="92" spans="1:9">
      <c r="A92" s="15">
        <v>46267.959606481483</v>
      </c>
      <c r="B92" s="22">
        <v>225767</v>
      </c>
      <c r="C92" s="2" t="s">
        <v>240</v>
      </c>
      <c r="D92" s="16">
        <v>6.49</v>
      </c>
      <c r="E92" s="16">
        <v>97.35</v>
      </c>
      <c r="F92" s="39">
        <v>15</v>
      </c>
      <c r="G92" s="39" t="s">
        <v>241</v>
      </c>
      <c r="H92" s="39">
        <v>7.01</v>
      </c>
      <c r="I92" s="2" t="s">
        <v>242</v>
      </c>
    </row>
    <row r="93" spans="1:9">
      <c r="A93" s="15">
        <v>46274.855613425927</v>
      </c>
      <c r="B93" s="22">
        <v>226096</v>
      </c>
      <c r="C93" s="2" t="s">
        <v>240</v>
      </c>
      <c r="D93" s="16">
        <v>6.29</v>
      </c>
      <c r="E93" s="16">
        <v>94.35</v>
      </c>
      <c r="F93" s="39">
        <v>15</v>
      </c>
      <c r="G93" s="39" t="s">
        <v>246</v>
      </c>
      <c r="H93" s="39">
        <v>7.01</v>
      </c>
      <c r="I93" s="2" t="s">
        <v>249</v>
      </c>
    </row>
    <row r="94" spans="1:9">
      <c r="A94" s="15">
        <v>46274.856203703705</v>
      </c>
      <c r="B94" s="22">
        <v>226097</v>
      </c>
      <c r="C94" s="2" t="s">
        <v>74</v>
      </c>
      <c r="D94" s="16">
        <v>3.59</v>
      </c>
      <c r="E94" s="16">
        <v>115.15600000000001</v>
      </c>
      <c r="F94" s="39">
        <v>32.076999999999998</v>
      </c>
      <c r="G94" s="39" t="s">
        <v>241</v>
      </c>
      <c r="H94" s="39">
        <v>7.0350000000000001</v>
      </c>
      <c r="I94" s="2" t="s">
        <v>249</v>
      </c>
    </row>
    <row r="95" spans="1:9">
      <c r="A95" s="15">
        <v>46278.643090277779</v>
      </c>
      <c r="B95" s="22">
        <v>226297</v>
      </c>
      <c r="C95" s="2" t="s">
        <v>240</v>
      </c>
      <c r="D95" s="16">
        <v>6.29</v>
      </c>
      <c r="E95" s="16">
        <v>31.45</v>
      </c>
      <c r="F95" s="39">
        <v>5</v>
      </c>
      <c r="G95" s="39" t="s">
        <v>246</v>
      </c>
      <c r="H95" s="39">
        <v>7.0350000000000001</v>
      </c>
      <c r="I95" s="2" t="s">
        <v>249</v>
      </c>
    </row>
    <row r="96" spans="1:9">
      <c r="A96" s="15">
        <v>46278.644328703704</v>
      </c>
      <c r="B96" s="22">
        <v>226298</v>
      </c>
      <c r="C96" s="2" t="s">
        <v>74</v>
      </c>
      <c r="D96" s="16">
        <v>3.89</v>
      </c>
      <c r="E96" s="16">
        <v>91.694999999999993</v>
      </c>
      <c r="F96" s="39">
        <v>23.571999999999999</v>
      </c>
      <c r="G96" s="39" t="s">
        <v>241</v>
      </c>
      <c r="H96" s="39">
        <v>0</v>
      </c>
      <c r="I96" s="2" t="s">
        <v>249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2"/>
  <sheetViews>
    <sheetView workbookViewId="0">
      <selection sqref="A1:H1"/>
    </sheetView>
  </sheetViews>
  <sheetFormatPr defaultRowHeight="13.5"/>
  <cols>
    <col min="1" max="1" width="13.0625" customWidth="1"/>
    <col min="2" max="2" width="6.1875" customWidth="1"/>
    <col min="3" max="3" width="10.875" customWidth="1"/>
    <col min="4" max="4" width="16.9375" customWidth="1"/>
    <col min="5" max="5" width="16.8125" customWidth="1"/>
    <col min="6" max="6" width="9.3125" customWidth="1"/>
    <col min="7" max="7" width="37.9375" customWidth="1"/>
    <col min="8" max="8" width="44" customWidth="1"/>
    <col min="10" max="10" width="34.0625" customWidth="1"/>
    <col min="11" max="11" width="16.8125" customWidth="1"/>
    <col min="12" max="12" width="10.625" customWidth="1"/>
    <col min="13" max="13" width="12.375" customWidth="1"/>
    <col min="14" max="14" width="48" customWidth="1"/>
  </cols>
  <sheetData>
    <row r="1" spans="1:14" ht="15" customHeight="1">
      <c r="A1" s="201" t="s">
        <v>348</v>
      </c>
      <c r="B1" s="201"/>
      <c r="C1" s="201"/>
      <c r="D1" s="201"/>
      <c r="E1" s="201"/>
      <c r="F1" s="201"/>
      <c r="G1" s="201"/>
      <c r="H1" s="201"/>
    </row>
    <row r="3" spans="1:14" ht="13.9">
      <c r="A3" s="33" t="s">
        <v>162</v>
      </c>
      <c r="B3" s="33" t="s">
        <v>349</v>
      </c>
      <c r="C3" s="33" t="s">
        <v>163</v>
      </c>
      <c r="D3" s="33" t="s">
        <v>350</v>
      </c>
      <c r="E3" s="33" t="s">
        <v>351</v>
      </c>
      <c r="F3" s="33" t="s">
        <v>352</v>
      </c>
      <c r="G3" s="33" t="s">
        <v>353</v>
      </c>
      <c r="H3" s="33" t="s">
        <v>167</v>
      </c>
      <c r="J3" s="202" t="s">
        <v>354</v>
      </c>
      <c r="K3" s="202"/>
      <c r="L3" s="202"/>
      <c r="M3" s="202"/>
      <c r="N3" s="202"/>
    </row>
    <row r="4" spans="1:14" ht="27.4">
      <c r="A4" s="15">
        <v>44517</v>
      </c>
      <c r="B4" s="2">
        <v>2021</v>
      </c>
      <c r="C4" s="22">
        <v>137762</v>
      </c>
      <c r="D4" s="2" t="s">
        <v>355</v>
      </c>
      <c r="E4" s="16">
        <v>1069</v>
      </c>
      <c r="F4" s="2" t="s">
        <v>356</v>
      </c>
      <c r="G4" s="2" t="s">
        <v>357</v>
      </c>
      <c r="H4" s="2" t="s">
        <v>358</v>
      </c>
      <c r="J4" s="41" t="s">
        <v>349</v>
      </c>
      <c r="K4" s="41" t="s">
        <v>356</v>
      </c>
      <c r="L4" s="41" t="s">
        <v>359</v>
      </c>
      <c r="M4" s="41" t="s">
        <v>360</v>
      </c>
      <c r="N4" s="41" t="s">
        <v>167</v>
      </c>
    </row>
    <row r="5" spans="1:14" ht="27">
      <c r="A5" s="15">
        <v>44655</v>
      </c>
      <c r="B5" s="2">
        <v>2022</v>
      </c>
      <c r="C5" s="22">
        <v>139982</v>
      </c>
      <c r="D5" s="2" t="s">
        <v>361</v>
      </c>
      <c r="E5" s="16">
        <v>3818.2</v>
      </c>
      <c r="F5" s="2" t="s">
        <v>356</v>
      </c>
      <c r="G5" s="2" t="s">
        <v>362</v>
      </c>
      <c r="H5" s="2" t="s">
        <v>363</v>
      </c>
      <c r="J5">
        <v>2021</v>
      </c>
      <c r="K5" s="10">
        <v>1069</v>
      </c>
      <c r="L5" s="10">
        <v>0</v>
      </c>
      <c r="M5" s="10">
        <f t="shared" ref="M5:M10" si="0">K5+L5</f>
        <v>1069</v>
      </c>
      <c r="N5" t="s">
        <v>364</v>
      </c>
    </row>
    <row r="6" spans="1:14" ht="27">
      <c r="A6" s="15">
        <v>44995</v>
      </c>
      <c r="B6" s="2">
        <v>2023</v>
      </c>
      <c r="C6" s="22">
        <v>149429</v>
      </c>
      <c r="D6" s="2" t="s">
        <v>365</v>
      </c>
      <c r="E6" s="16">
        <v>3618.52</v>
      </c>
      <c r="F6" s="2" t="s">
        <v>356</v>
      </c>
      <c r="G6" s="2" t="s">
        <v>366</v>
      </c>
      <c r="H6" s="2" t="s">
        <v>367</v>
      </c>
      <c r="J6">
        <v>2022</v>
      </c>
      <c r="K6" s="10">
        <v>3818.2</v>
      </c>
      <c r="L6" s="10">
        <v>0</v>
      </c>
      <c r="M6" s="10">
        <f t="shared" si="0"/>
        <v>3818.2</v>
      </c>
    </row>
    <row r="7" spans="1:14" ht="27">
      <c r="A7" s="15">
        <v>45189</v>
      </c>
      <c r="B7" s="2">
        <v>2023</v>
      </c>
      <c r="C7" s="22">
        <v>155929</v>
      </c>
      <c r="D7" s="2" t="s">
        <v>368</v>
      </c>
      <c r="E7" s="16">
        <v>496.72</v>
      </c>
      <c r="F7" s="2" t="s">
        <v>356</v>
      </c>
      <c r="G7" s="2" t="s">
        <v>369</v>
      </c>
      <c r="H7" s="2" t="s">
        <v>370</v>
      </c>
      <c r="J7">
        <v>2023</v>
      </c>
      <c r="K7" s="10">
        <v>4115.24</v>
      </c>
      <c r="L7" s="10">
        <v>0</v>
      </c>
      <c r="M7" s="10">
        <f t="shared" si="0"/>
        <v>4115.24</v>
      </c>
    </row>
    <row r="8" spans="1:14" ht="27">
      <c r="A8" s="15">
        <v>45455</v>
      </c>
      <c r="B8" s="2">
        <v>2024</v>
      </c>
      <c r="C8" s="22">
        <v>173551</v>
      </c>
      <c r="D8" s="2" t="s">
        <v>371</v>
      </c>
      <c r="E8" s="16">
        <v>6584</v>
      </c>
      <c r="F8" s="2" t="s">
        <v>356</v>
      </c>
      <c r="G8" s="2" t="s">
        <v>372</v>
      </c>
      <c r="H8" s="2" t="s">
        <v>373</v>
      </c>
      <c r="J8">
        <v>2024</v>
      </c>
      <c r="K8" s="10">
        <v>12730.4</v>
      </c>
      <c r="L8" s="10">
        <v>0</v>
      </c>
      <c r="M8" s="10">
        <f t="shared" si="0"/>
        <v>12730.4</v>
      </c>
    </row>
    <row r="9" spans="1:14" ht="27">
      <c r="A9" s="15">
        <v>45581</v>
      </c>
      <c r="B9" s="2">
        <v>2024</v>
      </c>
      <c r="C9" s="22">
        <v>182517</v>
      </c>
      <c r="D9" s="2" t="s">
        <v>374</v>
      </c>
      <c r="E9" s="16">
        <v>3908.4</v>
      </c>
      <c r="F9" s="2" t="s">
        <v>356</v>
      </c>
      <c r="G9" s="2" t="s">
        <v>375</v>
      </c>
      <c r="H9" s="2" t="s">
        <v>376</v>
      </c>
      <c r="J9">
        <v>2025</v>
      </c>
      <c r="K9" s="10">
        <v>7227.9</v>
      </c>
      <c r="L9" s="10">
        <v>5271</v>
      </c>
      <c r="M9" s="10">
        <f t="shared" si="0"/>
        <v>12498.9</v>
      </c>
    </row>
    <row r="10" spans="1:14" ht="27">
      <c r="A10" s="15">
        <v>45596</v>
      </c>
      <c r="B10" s="2">
        <v>2024</v>
      </c>
      <c r="C10" s="22">
        <v>183706</v>
      </c>
      <c r="D10" s="2" t="s">
        <v>377</v>
      </c>
      <c r="E10" s="16">
        <v>2238</v>
      </c>
      <c r="F10" s="2" t="s">
        <v>356</v>
      </c>
      <c r="G10" s="2" t="s">
        <v>378</v>
      </c>
      <c r="H10" s="2" t="s">
        <v>379</v>
      </c>
      <c r="J10">
        <v>2026</v>
      </c>
      <c r="K10" s="10">
        <v>0</v>
      </c>
      <c r="L10" s="10">
        <v>14089.46</v>
      </c>
      <c r="M10" s="10">
        <f t="shared" si="0"/>
        <v>14089.46</v>
      </c>
      <c r="N10" t="s">
        <v>380</v>
      </c>
    </row>
    <row r="11" spans="1:14" ht="27">
      <c r="A11" s="15">
        <v>45782</v>
      </c>
      <c r="B11" s="2">
        <v>2025</v>
      </c>
      <c r="C11" s="22">
        <v>197260</v>
      </c>
      <c r="D11" s="2" t="s">
        <v>381</v>
      </c>
      <c r="E11" s="16">
        <v>4470.3999999999996</v>
      </c>
      <c r="F11" s="2" t="s">
        <v>356</v>
      </c>
      <c r="G11" s="2" t="s">
        <v>382</v>
      </c>
      <c r="H11" s="2" t="s">
        <v>383</v>
      </c>
    </row>
    <row r="12" spans="1:14" ht="27">
      <c r="A12" s="15">
        <v>45803</v>
      </c>
      <c r="B12" s="2">
        <v>2025</v>
      </c>
      <c r="C12" s="22">
        <v>198895</v>
      </c>
      <c r="D12" s="2" t="s">
        <v>384</v>
      </c>
      <c r="E12" s="16">
        <v>1364</v>
      </c>
      <c r="F12" s="2" t="s">
        <v>356</v>
      </c>
      <c r="G12" s="2" t="s">
        <v>385</v>
      </c>
      <c r="H12" s="2" t="s">
        <v>386</v>
      </c>
      <c r="J12" s="202" t="s">
        <v>387</v>
      </c>
      <c r="K12" s="202"/>
      <c r="L12" s="202"/>
      <c r="M12" s="202"/>
      <c r="N12" s="202"/>
    </row>
    <row r="13" spans="1:14" ht="27.4">
      <c r="A13" s="15">
        <v>45804</v>
      </c>
      <c r="B13" s="2">
        <v>2025</v>
      </c>
      <c r="C13" s="22">
        <v>198895</v>
      </c>
      <c r="D13" s="2" t="s">
        <v>388</v>
      </c>
      <c r="E13" s="16">
        <v>1393.5</v>
      </c>
      <c r="F13" s="2" t="s">
        <v>356</v>
      </c>
      <c r="G13" s="2" t="s">
        <v>389</v>
      </c>
      <c r="H13" s="2" t="s">
        <v>390</v>
      </c>
      <c r="J13" s="41" t="s">
        <v>70</v>
      </c>
      <c r="K13" s="41" t="s">
        <v>67</v>
      </c>
      <c r="L13" s="41" t="s">
        <v>71</v>
      </c>
      <c r="M13" s="41" t="s">
        <v>42</v>
      </c>
      <c r="N13" s="41" t="s">
        <v>391</v>
      </c>
    </row>
    <row r="14" spans="1:14">
      <c r="A14" s="15">
        <v>45812</v>
      </c>
      <c r="B14" s="2">
        <v>2025</v>
      </c>
      <c r="C14" s="22">
        <v>199160</v>
      </c>
      <c r="D14" s="2" t="s">
        <v>392</v>
      </c>
      <c r="E14" s="16">
        <v>250</v>
      </c>
      <c r="F14" s="2" t="s">
        <v>359</v>
      </c>
      <c r="G14" s="2" t="s">
        <v>393</v>
      </c>
      <c r="H14" s="2" t="s">
        <v>394</v>
      </c>
      <c r="J14" t="s">
        <v>395</v>
      </c>
      <c r="K14" s="10">
        <v>28960.74</v>
      </c>
      <c r="L14" t="s">
        <v>116</v>
      </c>
      <c r="M14" t="s">
        <v>98</v>
      </c>
      <c r="N14" t="s">
        <v>396</v>
      </c>
    </row>
    <row r="15" spans="1:14">
      <c r="A15" s="15">
        <v>45829</v>
      </c>
      <c r="B15" s="2">
        <v>2025</v>
      </c>
      <c r="C15" s="22">
        <v>199761</v>
      </c>
      <c r="D15" s="2" t="s">
        <v>397</v>
      </c>
      <c r="E15" s="16">
        <v>680</v>
      </c>
      <c r="F15" s="2" t="s">
        <v>359</v>
      </c>
      <c r="G15" s="2" t="s">
        <v>393</v>
      </c>
      <c r="H15" s="2" t="s">
        <v>398</v>
      </c>
      <c r="J15" t="s">
        <v>399</v>
      </c>
      <c r="K15" s="10">
        <v>19360.46</v>
      </c>
      <c r="L15" t="s">
        <v>116</v>
      </c>
      <c r="M15" t="s">
        <v>98</v>
      </c>
      <c r="N15" t="s">
        <v>400</v>
      </c>
    </row>
    <row r="16" spans="1:14">
      <c r="A16" s="15">
        <v>45894</v>
      </c>
      <c r="B16" s="2">
        <v>2025</v>
      </c>
      <c r="C16" s="22">
        <v>202734</v>
      </c>
      <c r="D16" s="2" t="s">
        <v>401</v>
      </c>
      <c r="E16" s="16">
        <v>648</v>
      </c>
      <c r="F16" s="2" t="s">
        <v>359</v>
      </c>
      <c r="G16" s="2" t="s">
        <v>393</v>
      </c>
      <c r="H16" s="2" t="s">
        <v>402</v>
      </c>
      <c r="J16" t="s">
        <v>403</v>
      </c>
      <c r="K16" s="10">
        <v>48321.2</v>
      </c>
      <c r="L16" t="s">
        <v>116</v>
      </c>
      <c r="M16" t="s">
        <v>98</v>
      </c>
      <c r="N16" t="s">
        <v>404</v>
      </c>
    </row>
    <row r="17" spans="1:14">
      <c r="A17" s="15">
        <v>45931</v>
      </c>
      <c r="B17" s="2">
        <v>2025</v>
      </c>
      <c r="C17" s="22">
        <v>206212</v>
      </c>
      <c r="D17" s="2" t="s">
        <v>405</v>
      </c>
      <c r="E17" s="16">
        <v>503</v>
      </c>
      <c r="F17" s="2" t="s">
        <v>359</v>
      </c>
      <c r="G17" s="2" t="s">
        <v>393</v>
      </c>
      <c r="H17" s="2" t="s">
        <v>406</v>
      </c>
      <c r="J17" t="s">
        <v>407</v>
      </c>
      <c r="K17" s="24">
        <v>88533</v>
      </c>
      <c r="L17" t="s">
        <v>97</v>
      </c>
      <c r="M17" t="s">
        <v>98</v>
      </c>
      <c r="N17" t="s">
        <v>408</v>
      </c>
    </row>
    <row r="18" spans="1:14">
      <c r="A18" s="15">
        <v>45943</v>
      </c>
      <c r="B18" s="2">
        <v>2025</v>
      </c>
      <c r="C18" s="22">
        <v>207152</v>
      </c>
      <c r="D18" s="2" t="s">
        <v>409</v>
      </c>
      <c r="E18" s="16">
        <v>100</v>
      </c>
      <c r="F18" s="2" t="s">
        <v>359</v>
      </c>
      <c r="G18" s="2" t="s">
        <v>393</v>
      </c>
      <c r="H18" s="2" t="s">
        <v>410</v>
      </c>
      <c r="J18" t="s">
        <v>411</v>
      </c>
      <c r="K18">
        <v>0.54600000000000004</v>
      </c>
      <c r="L18" t="s">
        <v>12</v>
      </c>
      <c r="M18" t="s">
        <v>412</v>
      </c>
      <c r="N18" t="s">
        <v>413</v>
      </c>
    </row>
    <row r="19" spans="1:14">
      <c r="A19" s="15">
        <v>45960</v>
      </c>
      <c r="B19" s="2">
        <v>2025</v>
      </c>
      <c r="C19" s="22">
        <v>208315</v>
      </c>
      <c r="D19" s="2" t="s">
        <v>414</v>
      </c>
      <c r="E19" s="16">
        <v>3090</v>
      </c>
      <c r="F19" s="2" t="s">
        <v>359</v>
      </c>
      <c r="G19" s="2" t="s">
        <v>393</v>
      </c>
      <c r="H19" s="2" t="s">
        <v>415</v>
      </c>
      <c r="J19" t="s">
        <v>416</v>
      </c>
      <c r="K19" s="10">
        <v>8739.4599999999991</v>
      </c>
      <c r="L19" t="s">
        <v>6</v>
      </c>
      <c r="M19" t="s">
        <v>53</v>
      </c>
      <c r="N19" t="s">
        <v>417</v>
      </c>
    </row>
    <row r="20" spans="1:14" ht="27">
      <c r="A20" s="15">
        <v>46084</v>
      </c>
      <c r="B20" s="2">
        <v>2026</v>
      </c>
      <c r="C20" s="22">
        <v>215846</v>
      </c>
      <c r="D20" s="2" t="s">
        <v>418</v>
      </c>
      <c r="E20" s="16">
        <v>6980</v>
      </c>
      <c r="F20" s="2" t="s">
        <v>359</v>
      </c>
      <c r="G20" s="2" t="s">
        <v>393</v>
      </c>
      <c r="H20" s="2" t="s">
        <v>419</v>
      </c>
      <c r="J20" s="43" t="s">
        <v>420</v>
      </c>
      <c r="K20" s="44">
        <v>11700.83</v>
      </c>
      <c r="L20" s="43" t="s">
        <v>6</v>
      </c>
      <c r="M20" s="43" t="s">
        <v>421</v>
      </c>
      <c r="N20" s="43" t="s">
        <v>422</v>
      </c>
    </row>
    <row r="21" spans="1:14">
      <c r="A21" s="15">
        <v>46154</v>
      </c>
      <c r="B21" s="2">
        <v>2026</v>
      </c>
      <c r="C21" s="22">
        <v>219458</v>
      </c>
      <c r="D21" s="2" t="s">
        <v>423</v>
      </c>
      <c r="E21" s="16">
        <v>300</v>
      </c>
      <c r="F21" s="2" t="s">
        <v>359</v>
      </c>
      <c r="G21" s="2" t="s">
        <v>393</v>
      </c>
      <c r="H21" s="2" t="s">
        <v>424</v>
      </c>
      <c r="J21" t="s">
        <v>425</v>
      </c>
      <c r="K21" s="10">
        <v>12881.2</v>
      </c>
      <c r="L21" t="s">
        <v>6</v>
      </c>
      <c r="M21" t="s">
        <v>53</v>
      </c>
      <c r="N21" t="s">
        <v>426</v>
      </c>
    </row>
    <row r="22" spans="1:14" ht="13.9">
      <c r="A22" s="15">
        <v>46176</v>
      </c>
      <c r="B22" s="2">
        <v>2026</v>
      </c>
      <c r="C22" s="22">
        <v>220582</v>
      </c>
      <c r="D22" s="2" t="s">
        <v>427</v>
      </c>
      <c r="E22" s="16">
        <v>1736.6</v>
      </c>
      <c r="F22" s="2" t="s">
        <v>359</v>
      </c>
      <c r="G22" s="2" t="s">
        <v>393</v>
      </c>
      <c r="H22" s="2" t="s">
        <v>428</v>
      </c>
      <c r="J22" s="200" t="s">
        <v>429</v>
      </c>
      <c r="K22" s="219">
        <v>15295.73</v>
      </c>
      <c r="L22" s="200" t="s">
        <v>6</v>
      </c>
      <c r="M22" s="200" t="s">
        <v>53</v>
      </c>
      <c r="N22" s="200" t="s">
        <v>430</v>
      </c>
    </row>
    <row r="23" spans="1:14" ht="13.9">
      <c r="A23" s="15">
        <v>46189</v>
      </c>
      <c r="B23" s="2">
        <v>2026</v>
      </c>
      <c r="C23" s="22">
        <v>221241</v>
      </c>
      <c r="D23" s="2" t="s">
        <v>431</v>
      </c>
      <c r="E23" s="16">
        <v>2353</v>
      </c>
      <c r="F23" s="2" t="s">
        <v>359</v>
      </c>
      <c r="G23" s="2" t="s">
        <v>393</v>
      </c>
      <c r="H23" s="2" t="s">
        <v>432</v>
      </c>
      <c r="J23" s="23" t="s">
        <v>433</v>
      </c>
      <c r="K23" s="42">
        <v>4874.6000000000004</v>
      </c>
      <c r="L23" s="23" t="s">
        <v>434</v>
      </c>
      <c r="M23" s="23" t="s">
        <v>53</v>
      </c>
      <c r="N23" s="23" t="s">
        <v>435</v>
      </c>
    </row>
    <row r="24" spans="1:14">
      <c r="A24" s="15">
        <v>46204</v>
      </c>
      <c r="B24" s="2">
        <v>2026</v>
      </c>
      <c r="C24" s="22">
        <v>221817</v>
      </c>
      <c r="D24" s="2" t="s">
        <v>436</v>
      </c>
      <c r="E24" s="16">
        <v>380</v>
      </c>
      <c r="F24" s="2" t="s">
        <v>359</v>
      </c>
      <c r="G24" s="2" t="s">
        <v>393</v>
      </c>
      <c r="H24" s="2" t="s">
        <v>437</v>
      </c>
      <c r="J24" t="s">
        <v>438</v>
      </c>
      <c r="K24" s="10">
        <v>17782.46</v>
      </c>
      <c r="L24" s="10" t="s">
        <v>6</v>
      </c>
      <c r="M24" t="s">
        <v>98</v>
      </c>
      <c r="N24" t="s">
        <v>439</v>
      </c>
    </row>
    <row r="25" spans="1:14">
      <c r="A25" s="15">
        <v>46206</v>
      </c>
      <c r="B25" s="2">
        <v>2026</v>
      </c>
      <c r="C25" s="22">
        <v>221917</v>
      </c>
      <c r="D25" s="2" t="s">
        <v>440</v>
      </c>
      <c r="E25" s="16">
        <v>561</v>
      </c>
      <c r="F25" s="2" t="s">
        <v>359</v>
      </c>
      <c r="G25" s="2" t="s">
        <v>393</v>
      </c>
      <c r="H25" s="2" t="s">
        <v>441</v>
      </c>
      <c r="J25" s="25"/>
      <c r="K25" s="26"/>
      <c r="L25" s="26"/>
      <c r="M25" s="25"/>
      <c r="N25" s="25"/>
    </row>
    <row r="26" spans="1:14" ht="108">
      <c r="A26" s="15">
        <v>46222</v>
      </c>
      <c r="B26" s="2">
        <v>2026</v>
      </c>
      <c r="C26" s="22">
        <v>222470</v>
      </c>
      <c r="D26" s="2" t="s">
        <v>442</v>
      </c>
      <c r="E26" s="16">
        <v>490</v>
      </c>
      <c r="F26" s="2" t="s">
        <v>359</v>
      </c>
      <c r="G26" s="2" t="s">
        <v>393</v>
      </c>
      <c r="H26" s="2" t="s">
        <v>443</v>
      </c>
      <c r="J26" s="45" t="s">
        <v>444</v>
      </c>
      <c r="K26" s="46"/>
      <c r="L26" s="46"/>
      <c r="M26" s="45"/>
      <c r="N26" s="45"/>
    </row>
    <row r="27" spans="1:14" ht="27">
      <c r="A27" s="15">
        <v>46278</v>
      </c>
      <c r="B27" s="2">
        <v>2026</v>
      </c>
      <c r="C27" s="22">
        <v>226295</v>
      </c>
      <c r="D27" s="2" t="s">
        <v>445</v>
      </c>
      <c r="E27" s="16">
        <v>1288.8600000000001</v>
      </c>
      <c r="F27" s="2" t="s">
        <v>359</v>
      </c>
      <c r="G27" s="2" t="s">
        <v>393</v>
      </c>
      <c r="H27" s="2" t="s">
        <v>446</v>
      </c>
      <c r="J27" s="45"/>
      <c r="K27" s="46"/>
      <c r="L27" s="46"/>
      <c r="M27" s="45"/>
      <c r="N27" s="45"/>
    </row>
    <row r="28" spans="1:14">
      <c r="J28" s="45"/>
      <c r="K28" s="45"/>
      <c r="L28" s="45"/>
      <c r="M28" s="45"/>
      <c r="N28" s="45"/>
    </row>
    <row r="29" spans="1:14">
      <c r="J29" s="220"/>
      <c r="K29" s="220"/>
      <c r="L29" s="220"/>
      <c r="M29" s="220"/>
      <c r="N29" s="220"/>
    </row>
    <row r="30" spans="1:14">
      <c r="J30" s="216"/>
      <c r="K30" s="216"/>
      <c r="L30" s="216"/>
      <c r="M30" s="216"/>
      <c r="N30" s="216"/>
    </row>
    <row r="31" spans="1:14">
      <c r="J31" s="216"/>
      <c r="K31" s="216"/>
      <c r="L31" s="216"/>
      <c r="M31" s="216"/>
      <c r="N31" s="216"/>
    </row>
    <row r="32" spans="1:14">
      <c r="J32" s="216"/>
      <c r="K32" s="216"/>
      <c r="L32" s="216"/>
      <c r="M32" s="216"/>
      <c r="N32" s="216"/>
    </row>
  </sheetData>
  <mergeCells count="5">
    <mergeCell ref="J22:N22"/>
    <mergeCell ref="J29:N32"/>
    <mergeCell ref="A1:H1"/>
    <mergeCell ref="J3:N3"/>
    <mergeCell ref="J12:N1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Dashboard</vt:lpstr>
      <vt:lpstr>Comparador_EV</vt:lpstr>
      <vt:lpstr>Financiamento_EV</vt:lpstr>
      <vt:lpstr>Cenarios_Fin</vt:lpstr>
      <vt:lpstr>Fluxo_EV</vt:lpstr>
      <vt:lpstr>Handoff_EV</vt:lpstr>
      <vt:lpstr>Premissas</vt:lpstr>
      <vt:lpstr>Historico_Mensal</vt:lpstr>
      <vt:lpstr>Servicos_12m</vt:lpstr>
      <vt:lpstr>Abastecimentos_12m</vt:lpstr>
      <vt:lpstr>Historico_Manutencao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 Maciel</dc:creator>
  <cp:lastModifiedBy>NATAN PEIXOTO MACIEL</cp:lastModifiedBy>
  <dcterms:created xsi:type="dcterms:W3CDTF">2026-09-26T18:32:53Z</dcterms:created>
  <dcterms:modified xsi:type="dcterms:W3CDTF">2026-10-06T19:04:42Z</dcterms:modified>
</cp:coreProperties>
</file>